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pivotTables/pivotTable6.xml" ContentType="application/vnd.openxmlformats-officedocument.spreadsheetml.pivotTable+xml"/>
  <Override PartName="/xl/tables/table6.xml" ContentType="application/vnd.openxmlformats-officedocument.spreadsheetml.table+xml"/>
  <Override PartName="/xl/pivotTables/pivotTable7.xml" ContentType="application/vnd.openxmlformats-officedocument.spreadsheetml.pivotTable+xml"/>
  <Override PartName="/xl/tables/table7.xml" ContentType="application/vnd.openxmlformats-officedocument.spreadsheetml.table+xml"/>
  <Override PartName="/xl/pivotTables/pivotTable8.xml" ContentType="application/vnd.openxmlformats-officedocument.spreadsheetml.pivotTable+xml"/>
  <Override PartName="/xl/tables/table8.xml" ContentType="application/vnd.openxmlformats-officedocument.spreadsheetml.table+xml"/>
  <Override PartName="/xl/pivotTables/pivotTable9.xml" ContentType="application/vnd.openxmlformats-officedocument.spreadsheetml.pivot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Mój dysk\Fuchy\20251215 Nova Staffa\"/>
    </mc:Choice>
  </mc:AlternateContent>
  <xr:revisionPtr revIDLastSave="0" documentId="13_ncr:1_{1B711CF3-5F38-4E81-868C-FC15FF73228E}" xr6:coauthVersionLast="47" xr6:coauthVersionMax="47" xr10:uidLastSave="{00000000-0000-0000-0000-000000000000}"/>
  <bookViews>
    <workbookView xWindow="-108" yWindow="-108" windowWidth="23256" windowHeight="12456" activeTab="1" xr2:uid="{24DC2613-BAF0-4F87-B135-75A755554F5C}"/>
  </bookViews>
  <sheets>
    <sheet name="Fundamenty" sheetId="1" r:id="rId1"/>
    <sheet name="Piony 0" sheetId="2" r:id="rId2"/>
    <sheet name="Belki nad 0" sheetId="3" r:id="rId3"/>
    <sheet name="Strop nad 0" sheetId="5" r:id="rId4"/>
    <sheet name="Piony nadziemia" sheetId="9" r:id="rId5"/>
    <sheet name="Belki nadziemia" sheetId="8" r:id="rId6"/>
    <sheet name="Stropy nadziemia" sheetId="10" r:id="rId7"/>
    <sheet name="Szyby windowe" sheetId="11" r:id="rId8"/>
    <sheet name="Biegi schodowe" sheetId="12" r:id="rId9"/>
  </sheets>
  <calcPr calcId="191029"/>
  <pivotCaches>
    <pivotCache cacheId="227" r:id="rId10"/>
    <pivotCache cacheId="228" r:id="rId11"/>
    <pivotCache cacheId="229" r:id="rId12"/>
    <pivotCache cacheId="230" r:id="rId13"/>
    <pivotCache cacheId="231" r:id="rId14"/>
    <pivotCache cacheId="232" r:id="rId15"/>
    <pivotCache cacheId="233" r:id="rId16"/>
    <pivotCache cacheId="234" r:id="rId17"/>
    <pivotCache cacheId="235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2" l="1"/>
  <c r="L8" i="12"/>
  <c r="L9" i="12"/>
  <c r="L10" i="12"/>
  <c r="L11" i="12"/>
  <c r="L12" i="12"/>
  <c r="L13" i="12"/>
  <c r="L14" i="12"/>
  <c r="M7" i="12"/>
  <c r="M8" i="12"/>
  <c r="M9" i="12"/>
  <c r="M10" i="12"/>
  <c r="M11" i="12"/>
  <c r="M12" i="12"/>
  <c r="M13" i="12"/>
  <c r="M14" i="12"/>
  <c r="L7" i="11"/>
  <c r="L8" i="11"/>
  <c r="L9" i="11"/>
  <c r="L10" i="11"/>
  <c r="L11" i="11"/>
  <c r="L12" i="11"/>
  <c r="L13" i="11"/>
  <c r="L14" i="11"/>
  <c r="L15" i="11"/>
  <c r="L16" i="11"/>
  <c r="M16" i="11" s="1"/>
  <c r="L17" i="11"/>
  <c r="M17" i="11" s="1"/>
  <c r="L18" i="11"/>
  <c r="M18" i="11" s="1"/>
  <c r="L19" i="11"/>
  <c r="M19" i="11" s="1"/>
  <c r="L20" i="11"/>
  <c r="M20" i="11" s="1"/>
  <c r="L21" i="11"/>
  <c r="M21" i="11" s="1"/>
  <c r="L22" i="11"/>
  <c r="M22" i="11" s="1"/>
  <c r="L23" i="11"/>
  <c r="L24" i="11"/>
  <c r="L25" i="11"/>
  <c r="L26" i="11"/>
  <c r="L27" i="11"/>
  <c r="L28" i="11"/>
  <c r="L29" i="11"/>
  <c r="M7" i="11"/>
  <c r="M8" i="11"/>
  <c r="M9" i="11"/>
  <c r="M10" i="11"/>
  <c r="M11" i="11"/>
  <c r="M12" i="11"/>
  <c r="M13" i="11"/>
  <c r="M14" i="11"/>
  <c r="M15" i="11"/>
  <c r="M23" i="11"/>
  <c r="M24" i="11"/>
  <c r="M25" i="11"/>
  <c r="M26" i="11"/>
  <c r="M27" i="11"/>
  <c r="M28" i="11"/>
  <c r="M29" i="11"/>
  <c r="M59" i="10"/>
  <c r="M58" i="10"/>
  <c r="M57" i="10"/>
  <c r="N57" i="10" s="1"/>
  <c r="M56" i="10"/>
  <c r="N56" i="10" s="1"/>
  <c r="M55" i="10"/>
  <c r="N55" i="10" s="1"/>
  <c r="M54" i="10"/>
  <c r="N54" i="10" s="1"/>
  <c r="M53" i="10"/>
  <c r="N53" i="10" s="1"/>
  <c r="M52" i="10"/>
  <c r="M51" i="10"/>
  <c r="M50" i="10"/>
  <c r="M49" i="10"/>
  <c r="M48" i="10"/>
  <c r="N48" i="10" s="1"/>
  <c r="M47" i="10"/>
  <c r="N47" i="10" s="1"/>
  <c r="M46" i="10"/>
  <c r="M45" i="10"/>
  <c r="N45" i="10" s="1"/>
  <c r="M44" i="10"/>
  <c r="M43" i="10"/>
  <c r="M42" i="10"/>
  <c r="N42" i="10" s="1"/>
  <c r="M41" i="10"/>
  <c r="N41" i="10" s="1"/>
  <c r="M40" i="10"/>
  <c r="N40" i="10" s="1"/>
  <c r="M39" i="10"/>
  <c r="N39" i="10" s="1"/>
  <c r="M38" i="10"/>
  <c r="N38" i="10" s="1"/>
  <c r="M37" i="10"/>
  <c r="M36" i="10"/>
  <c r="M35" i="10"/>
  <c r="M34" i="10"/>
  <c r="M33" i="10"/>
  <c r="M32" i="10"/>
  <c r="M31" i="10"/>
  <c r="M30" i="10"/>
  <c r="M29" i="10"/>
  <c r="M28" i="10"/>
  <c r="N28" i="10" s="1"/>
  <c r="M27" i="10"/>
  <c r="N27" i="10" s="1"/>
  <c r="M26" i="10"/>
  <c r="N26" i="10" s="1"/>
  <c r="M25" i="10"/>
  <c r="N25" i="10" s="1"/>
  <c r="M24" i="10"/>
  <c r="N24" i="10" s="1"/>
  <c r="M23" i="10"/>
  <c r="N23" i="10" s="1"/>
  <c r="M22" i="10"/>
  <c r="N22" i="10" s="1"/>
  <c r="M21" i="10"/>
  <c r="M20" i="10"/>
  <c r="M19" i="10"/>
  <c r="M18" i="10"/>
  <c r="M17" i="10"/>
  <c r="M16" i="10"/>
  <c r="N16" i="10" s="1"/>
  <c r="M15" i="10"/>
  <c r="N15" i="10" s="1"/>
  <c r="M14" i="10"/>
  <c r="M13" i="10"/>
  <c r="M12" i="10"/>
  <c r="N12" i="10" s="1"/>
  <c r="M11" i="10"/>
  <c r="N11" i="10" s="1"/>
  <c r="N13" i="10"/>
  <c r="N14" i="10"/>
  <c r="N17" i="10"/>
  <c r="N19" i="10"/>
  <c r="N20" i="10"/>
  <c r="N21" i="10"/>
  <c r="N58" i="10"/>
  <c r="N30" i="10"/>
  <c r="N33" i="10"/>
  <c r="N46" i="10"/>
  <c r="N49" i="10"/>
  <c r="N18" i="10"/>
  <c r="N29" i="10"/>
  <c r="N31" i="10"/>
  <c r="N32" i="10"/>
  <c r="N34" i="10"/>
  <c r="N35" i="10"/>
  <c r="N36" i="10"/>
  <c r="N37" i="10"/>
  <c r="N43" i="10"/>
  <c r="N44" i="10"/>
  <c r="N50" i="10"/>
  <c r="N51" i="10"/>
  <c r="N52" i="10"/>
  <c r="N59" i="10"/>
  <c r="L16" i="8"/>
  <c r="L17" i="8"/>
  <c r="M17" i="8" s="1"/>
  <c r="L18" i="8"/>
  <c r="L19" i="8"/>
  <c r="L20" i="8"/>
  <c r="M20" i="8" s="1"/>
  <c r="L21" i="8"/>
  <c r="L22" i="8"/>
  <c r="L23" i="8"/>
  <c r="M23" i="8" s="1"/>
  <c r="L24" i="8"/>
  <c r="L25" i="8"/>
  <c r="M25" i="8" s="1"/>
  <c r="L26" i="8"/>
  <c r="M26" i="8" s="1"/>
  <c r="L27" i="8"/>
  <c r="M27" i="8" s="1"/>
  <c r="L28" i="8"/>
  <c r="M28" i="8" s="1"/>
  <c r="L29" i="8"/>
  <c r="M29" i="8" s="1"/>
  <c r="L30" i="8"/>
  <c r="M30" i="8" s="1"/>
  <c r="L31" i="8"/>
  <c r="M31" i="8" s="1"/>
  <c r="L32" i="8"/>
  <c r="L33" i="8"/>
  <c r="M33" i="8" s="1"/>
  <c r="L34" i="8"/>
  <c r="L35" i="8"/>
  <c r="L36" i="8"/>
  <c r="L37" i="8"/>
  <c r="L38" i="8"/>
  <c r="L39" i="8"/>
  <c r="L40" i="8"/>
  <c r="L41" i="8"/>
  <c r="M41" i="8" s="1"/>
  <c r="L42" i="8"/>
  <c r="M42" i="8" s="1"/>
  <c r="L43" i="8"/>
  <c r="M43" i="8" s="1"/>
  <c r="L44" i="8"/>
  <c r="M44" i="8" s="1"/>
  <c r="L45" i="8"/>
  <c r="M45" i="8" s="1"/>
  <c r="L46" i="8"/>
  <c r="M46" i="8" s="1"/>
  <c r="L47" i="8"/>
  <c r="M47" i="8" s="1"/>
  <c r="L48" i="8"/>
  <c r="L49" i="8"/>
  <c r="M49" i="8" s="1"/>
  <c r="L50" i="8"/>
  <c r="L51" i="8"/>
  <c r="L52" i="8"/>
  <c r="L53" i="8"/>
  <c r="L54" i="8"/>
  <c r="L55" i="8"/>
  <c r="L56" i="8"/>
  <c r="L57" i="8"/>
  <c r="M57" i="8" s="1"/>
  <c r="L58" i="8"/>
  <c r="M58" i="8" s="1"/>
  <c r="L59" i="8"/>
  <c r="M59" i="8" s="1"/>
  <c r="L60" i="8"/>
  <c r="M60" i="8" s="1"/>
  <c r="L61" i="8"/>
  <c r="M61" i="8" s="1"/>
  <c r="L62" i="8"/>
  <c r="M62" i="8" s="1"/>
  <c r="L63" i="8"/>
  <c r="M63" i="8" s="1"/>
  <c r="L64" i="8"/>
  <c r="L65" i="8"/>
  <c r="M65" i="8" s="1"/>
  <c r="L66" i="8"/>
  <c r="L67" i="8"/>
  <c r="L68" i="8"/>
  <c r="L69" i="8"/>
  <c r="L70" i="8"/>
  <c r="L71" i="8"/>
  <c r="L72" i="8"/>
  <c r="L73" i="8"/>
  <c r="M73" i="8" s="1"/>
  <c r="L74" i="8"/>
  <c r="M74" i="8" s="1"/>
  <c r="L75" i="8"/>
  <c r="M75" i="8" s="1"/>
  <c r="L76" i="8"/>
  <c r="M76" i="8" s="1"/>
  <c r="L77" i="8"/>
  <c r="M77" i="8" s="1"/>
  <c r="L78" i="8"/>
  <c r="M78" i="8" s="1"/>
  <c r="L79" i="8"/>
  <c r="M79" i="8" s="1"/>
  <c r="L80" i="8"/>
  <c r="L81" i="8"/>
  <c r="M81" i="8" s="1"/>
  <c r="L82" i="8"/>
  <c r="L83" i="8"/>
  <c r="L84" i="8"/>
  <c r="L85" i="8"/>
  <c r="L86" i="8"/>
  <c r="L87" i="8"/>
  <c r="L88" i="8"/>
  <c r="L89" i="8"/>
  <c r="M89" i="8" s="1"/>
  <c r="L90" i="8"/>
  <c r="M90" i="8" s="1"/>
  <c r="L91" i="8"/>
  <c r="M91" i="8" s="1"/>
  <c r="L92" i="8"/>
  <c r="M92" i="8" s="1"/>
  <c r="L93" i="8"/>
  <c r="M93" i="8" s="1"/>
  <c r="L94" i="8"/>
  <c r="M94" i="8" s="1"/>
  <c r="L95" i="8"/>
  <c r="M95" i="8" s="1"/>
  <c r="L96" i="8"/>
  <c r="L97" i="8"/>
  <c r="M97" i="8" s="1"/>
  <c r="L98" i="8"/>
  <c r="L99" i="8"/>
  <c r="L100" i="8"/>
  <c r="L101" i="8"/>
  <c r="L102" i="8"/>
  <c r="L103" i="8"/>
  <c r="L104" i="8"/>
  <c r="L105" i="8"/>
  <c r="M105" i="8" s="1"/>
  <c r="L106" i="8"/>
  <c r="M106" i="8" s="1"/>
  <c r="L107" i="8"/>
  <c r="M107" i="8" s="1"/>
  <c r="L108" i="8"/>
  <c r="M108" i="8" s="1"/>
  <c r="L109" i="8"/>
  <c r="M109" i="8" s="1"/>
  <c r="L110" i="8"/>
  <c r="M110" i="8" s="1"/>
  <c r="L111" i="8"/>
  <c r="M111" i="8" s="1"/>
  <c r="L112" i="8"/>
  <c r="L113" i="8"/>
  <c r="M113" i="8" s="1"/>
  <c r="L114" i="8"/>
  <c r="L115" i="8"/>
  <c r="L116" i="8"/>
  <c r="L117" i="8"/>
  <c r="L118" i="8"/>
  <c r="L119" i="8"/>
  <c r="L120" i="8"/>
  <c r="L121" i="8"/>
  <c r="M121" i="8" s="1"/>
  <c r="L122" i="8"/>
  <c r="M122" i="8" s="1"/>
  <c r="L123" i="8"/>
  <c r="M123" i="8" s="1"/>
  <c r="L124" i="8"/>
  <c r="M124" i="8" s="1"/>
  <c r="L125" i="8"/>
  <c r="M125" i="8" s="1"/>
  <c r="L126" i="8"/>
  <c r="M126" i="8" s="1"/>
  <c r="L127" i="8"/>
  <c r="M127" i="8" s="1"/>
  <c r="L128" i="8"/>
  <c r="L129" i="8"/>
  <c r="M129" i="8" s="1"/>
  <c r="L130" i="8"/>
  <c r="L131" i="8"/>
  <c r="L132" i="8"/>
  <c r="L133" i="8"/>
  <c r="L134" i="8"/>
  <c r="L135" i="8"/>
  <c r="L136" i="8"/>
  <c r="L137" i="8"/>
  <c r="M137" i="8" s="1"/>
  <c r="L138" i="8"/>
  <c r="M138" i="8" s="1"/>
  <c r="L139" i="8"/>
  <c r="M139" i="8" s="1"/>
  <c r="L140" i="8"/>
  <c r="M140" i="8" s="1"/>
  <c r="L141" i="8"/>
  <c r="M141" i="8" s="1"/>
  <c r="L142" i="8"/>
  <c r="M142" i="8" s="1"/>
  <c r="L143" i="8"/>
  <c r="M143" i="8" s="1"/>
  <c r="L144" i="8"/>
  <c r="L145" i="8"/>
  <c r="M145" i="8" s="1"/>
  <c r="L146" i="8"/>
  <c r="L147" i="8"/>
  <c r="L148" i="8"/>
  <c r="L149" i="8"/>
  <c r="L150" i="8"/>
  <c r="L151" i="8"/>
  <c r="L152" i="8"/>
  <c r="L153" i="8"/>
  <c r="M153" i="8" s="1"/>
  <c r="L154" i="8"/>
  <c r="M154" i="8" s="1"/>
  <c r="L155" i="8"/>
  <c r="M155" i="8" s="1"/>
  <c r="M16" i="8"/>
  <c r="M18" i="8"/>
  <c r="M19" i="8"/>
  <c r="M21" i="8"/>
  <c r="M22" i="8"/>
  <c r="M24" i="8"/>
  <c r="M32" i="8"/>
  <c r="M34" i="8"/>
  <c r="M35" i="8"/>
  <c r="M36" i="8"/>
  <c r="M37" i="8"/>
  <c r="M38" i="8"/>
  <c r="M39" i="8"/>
  <c r="M40" i="8"/>
  <c r="M48" i="8"/>
  <c r="M50" i="8"/>
  <c r="M51" i="8"/>
  <c r="M52" i="8"/>
  <c r="M53" i="8"/>
  <c r="M54" i="8"/>
  <c r="M55" i="8"/>
  <c r="M56" i="8"/>
  <c r="M64" i="8"/>
  <c r="M66" i="8"/>
  <c r="M67" i="8"/>
  <c r="M68" i="8"/>
  <c r="M69" i="8"/>
  <c r="M70" i="8"/>
  <c r="M71" i="8"/>
  <c r="M72" i="8"/>
  <c r="M80" i="8"/>
  <c r="M82" i="8"/>
  <c r="M83" i="8"/>
  <c r="M84" i="8"/>
  <c r="M85" i="8"/>
  <c r="M86" i="8"/>
  <c r="M87" i="8"/>
  <c r="M88" i="8"/>
  <c r="M96" i="8"/>
  <c r="M98" i="8"/>
  <c r="M99" i="8"/>
  <c r="M100" i="8"/>
  <c r="M101" i="8"/>
  <c r="M102" i="8"/>
  <c r="M103" i="8"/>
  <c r="M104" i="8"/>
  <c r="M112" i="8"/>
  <c r="M114" i="8"/>
  <c r="M115" i="8"/>
  <c r="M116" i="8"/>
  <c r="M117" i="8"/>
  <c r="M118" i="8"/>
  <c r="M119" i="8"/>
  <c r="M120" i="8"/>
  <c r="M128" i="8"/>
  <c r="M130" i="8"/>
  <c r="M131" i="8"/>
  <c r="M132" i="8"/>
  <c r="M133" i="8"/>
  <c r="M134" i="8"/>
  <c r="M135" i="8"/>
  <c r="M136" i="8"/>
  <c r="M144" i="8"/>
  <c r="M146" i="8"/>
  <c r="M147" i="8"/>
  <c r="M148" i="8"/>
  <c r="M149" i="8"/>
  <c r="M150" i="8"/>
  <c r="M151" i="8"/>
  <c r="M152" i="8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J10" i="5"/>
  <c r="M22" i="1"/>
  <c r="M23" i="1"/>
  <c r="M24" i="1"/>
  <c r="M29" i="1"/>
  <c r="M30" i="1"/>
  <c r="M31" i="1"/>
  <c r="L22" i="1"/>
  <c r="L23" i="1"/>
  <c r="L24" i="1"/>
  <c r="L29" i="1"/>
  <c r="L30" i="1"/>
  <c r="L31" i="1"/>
  <c r="L32" i="1"/>
  <c r="M32" i="1" s="1"/>
  <c r="L33" i="1"/>
  <c r="M33" i="1" s="1"/>
  <c r="M49" i="2" l="1"/>
  <c r="H49" i="1" l="1"/>
  <c r="L49" i="1" s="1"/>
  <c r="M49" i="1" s="1"/>
  <c r="H48" i="1"/>
  <c r="L48" i="1" s="1"/>
  <c r="M48" i="1" s="1"/>
  <c r="H46" i="1"/>
  <c r="L46" i="1" s="1"/>
  <c r="M46" i="1" s="1"/>
  <c r="H45" i="1"/>
  <c r="L45" i="1" s="1"/>
  <c r="M45" i="1" s="1"/>
  <c r="H44" i="1"/>
  <c r="L44" i="1" s="1"/>
  <c r="M44" i="1" s="1"/>
  <c r="H43" i="1"/>
  <c r="L43" i="1" s="1"/>
  <c r="M43" i="1" s="1"/>
  <c r="H42" i="1"/>
  <c r="L42" i="1" s="1"/>
  <c r="M42" i="1" s="1"/>
  <c r="H41" i="1"/>
  <c r="L41" i="1" s="1"/>
  <c r="M41" i="1" s="1"/>
  <c r="H40" i="1"/>
  <c r="L40" i="1" s="1"/>
  <c r="M40" i="1" s="1"/>
  <c r="H39" i="1"/>
  <c r="L39" i="1" s="1"/>
  <c r="M39" i="1" s="1"/>
  <c r="H38" i="1"/>
  <c r="L38" i="1" s="1"/>
  <c r="M38" i="1" s="1"/>
  <c r="H37" i="1"/>
  <c r="L37" i="1" s="1"/>
  <c r="M37" i="1" s="1"/>
  <c r="H36" i="1"/>
  <c r="L36" i="1" s="1"/>
  <c r="M36" i="1" s="1"/>
  <c r="H35" i="1"/>
  <c r="L35" i="1" s="1"/>
  <c r="M35" i="1" s="1"/>
  <c r="H34" i="1"/>
  <c r="L34" i="1" s="1"/>
  <c r="M34" i="1" s="1"/>
  <c r="H28" i="1"/>
  <c r="L28" i="1" s="1"/>
  <c r="M28" i="1" s="1"/>
  <c r="H27" i="1"/>
  <c r="L27" i="1" s="1"/>
  <c r="M27" i="1" s="1"/>
  <c r="H26" i="1"/>
  <c r="L26" i="1" s="1"/>
  <c r="M26" i="1" s="1"/>
  <c r="H25" i="1"/>
  <c r="L25" i="1" s="1"/>
  <c r="M25" i="1" s="1"/>
  <c r="H21" i="1"/>
  <c r="L21" i="1" s="1"/>
  <c r="M21" i="1" s="1"/>
  <c r="H20" i="1"/>
  <c r="L20" i="1" s="1"/>
  <c r="M20" i="1" s="1"/>
  <c r="H19" i="1"/>
  <c r="L19" i="1" s="1"/>
  <c r="M19" i="1" s="1"/>
  <c r="H18" i="1"/>
  <c r="L18" i="1" s="1"/>
  <c r="M18" i="1" s="1"/>
  <c r="H17" i="1"/>
  <c r="L17" i="1" s="1"/>
  <c r="M17" i="1" s="1"/>
  <c r="H16" i="1"/>
  <c r="L16" i="1" s="1"/>
  <c r="M16" i="1" s="1"/>
  <c r="H15" i="1"/>
  <c r="L15" i="1" s="1"/>
  <c r="M15" i="1" s="1"/>
  <c r="H14" i="1"/>
  <c r="L14" i="1" s="1"/>
  <c r="M14" i="1" s="1"/>
  <c r="H12" i="1"/>
  <c r="L12" i="1" s="1"/>
  <c r="M12" i="1" s="1"/>
  <c r="H11" i="1"/>
  <c r="L11" i="1" s="1"/>
  <c r="M11" i="1" s="1"/>
  <c r="H10" i="1"/>
  <c r="L10" i="1" s="1"/>
  <c r="M10" i="1" s="1"/>
  <c r="H6" i="1"/>
  <c r="L6" i="1" s="1"/>
  <c r="M6" i="1" s="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H12" i="11"/>
  <c r="F12" i="11"/>
  <c r="I12" i="11" s="1"/>
  <c r="H14" i="11"/>
  <c r="F14" i="11"/>
  <c r="I14" i="11" s="1"/>
  <c r="H13" i="11"/>
  <c r="F13" i="11"/>
  <c r="I13" i="11" s="1"/>
  <c r="H11" i="11"/>
  <c r="F11" i="11"/>
  <c r="I11" i="11" s="1"/>
  <c r="F10" i="11"/>
  <c r="I10" i="11" s="1"/>
  <c r="H10" i="11"/>
  <c r="H9" i="11"/>
  <c r="F9" i="11"/>
  <c r="I9" i="11" s="1"/>
  <c r="H8" i="11"/>
  <c r="F7" i="11"/>
  <c r="I7" i="11" s="1"/>
  <c r="F8" i="11"/>
  <c r="I8" i="11" s="1"/>
  <c r="H7" i="11"/>
  <c r="I122" i="8"/>
  <c r="H122" i="8"/>
  <c r="J59" i="10"/>
  <c r="H59" i="10"/>
  <c r="J58" i="10"/>
  <c r="H58" i="10"/>
  <c r="J57" i="10"/>
  <c r="H57" i="10"/>
  <c r="J54" i="10"/>
  <c r="H54" i="10"/>
  <c r="J53" i="10"/>
  <c r="H53" i="10"/>
  <c r="J52" i="10"/>
  <c r="H52" i="10"/>
  <c r="J44" i="10"/>
  <c r="H44" i="10"/>
  <c r="J43" i="10"/>
  <c r="H43" i="10"/>
  <c r="J42" i="10"/>
  <c r="H42" i="10"/>
  <c r="J41" i="10"/>
  <c r="H41" i="10"/>
  <c r="J40" i="10"/>
  <c r="H40" i="10"/>
  <c r="J39" i="10"/>
  <c r="H39" i="10"/>
  <c r="J31" i="10"/>
  <c r="H31" i="10"/>
  <c r="J30" i="10"/>
  <c r="H30" i="10"/>
  <c r="J29" i="10"/>
  <c r="H29" i="10"/>
  <c r="J28" i="10"/>
  <c r="H28" i="10"/>
  <c r="J27" i="10"/>
  <c r="H27" i="10"/>
  <c r="J26" i="10"/>
  <c r="H26" i="10"/>
  <c r="J18" i="10"/>
  <c r="H18" i="10"/>
  <c r="J16" i="10"/>
  <c r="H16" i="10"/>
  <c r="J14" i="10"/>
  <c r="J17" i="10"/>
  <c r="H17" i="10"/>
  <c r="J15" i="10"/>
  <c r="H15" i="10"/>
  <c r="J13" i="10"/>
  <c r="L56" i="10"/>
  <c r="H56" i="10" s="1"/>
  <c r="L55" i="10"/>
  <c r="H55" i="10" s="1"/>
  <c r="J56" i="10"/>
  <c r="J55" i="10"/>
  <c r="H51" i="10"/>
  <c r="H50" i="10"/>
  <c r="L49" i="10"/>
  <c r="H49" i="10" s="1"/>
  <c r="L48" i="10"/>
  <c r="H48" i="10" s="1"/>
  <c r="L47" i="10"/>
  <c r="H47" i="10" s="1"/>
  <c r="L46" i="10"/>
  <c r="H46" i="10" s="1"/>
  <c r="L45" i="10"/>
  <c r="H45" i="10" s="1"/>
  <c r="F49" i="10"/>
  <c r="J49" i="10" s="1"/>
  <c r="F48" i="10"/>
  <c r="J48" i="10" s="1"/>
  <c r="J47" i="10"/>
  <c r="J46" i="10"/>
  <c r="J45" i="10"/>
  <c r="H38" i="10"/>
  <c r="H37" i="10"/>
  <c r="L36" i="10"/>
  <c r="H36" i="10" s="1"/>
  <c r="L35" i="10"/>
  <c r="H35" i="10" s="1"/>
  <c r="L34" i="10"/>
  <c r="H34" i="10" s="1"/>
  <c r="L33" i="10"/>
  <c r="H33" i="10" s="1"/>
  <c r="L32" i="10"/>
  <c r="H32" i="10" s="1"/>
  <c r="F36" i="10"/>
  <c r="J36" i="10" s="1"/>
  <c r="F35" i="10"/>
  <c r="J35" i="10" s="1"/>
  <c r="J34" i="10"/>
  <c r="J33" i="10"/>
  <c r="J32" i="10"/>
  <c r="H25" i="10"/>
  <c r="H24" i="10"/>
  <c r="F23" i="10"/>
  <c r="J23" i="10" s="1"/>
  <c r="F22" i="10"/>
  <c r="J22" i="10" s="1"/>
  <c r="L23" i="10"/>
  <c r="H23" i="10" s="1"/>
  <c r="L22" i="10"/>
  <c r="H22" i="10" s="1"/>
  <c r="L21" i="10"/>
  <c r="H21" i="10" s="1"/>
  <c r="L20" i="10"/>
  <c r="H20" i="10" s="1"/>
  <c r="L19" i="10"/>
  <c r="H19" i="10" s="1"/>
  <c r="H12" i="10"/>
  <c r="H11" i="10"/>
  <c r="J21" i="10"/>
  <c r="J20" i="10"/>
  <c r="J19" i="10"/>
  <c r="H14" i="10"/>
  <c r="H13" i="10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J48" i="9"/>
  <c r="J47" i="9"/>
  <c r="J46" i="9"/>
  <c r="K48" i="9"/>
  <c r="F48" i="9"/>
  <c r="H48" i="9" s="1"/>
  <c r="K47" i="9"/>
  <c r="F47" i="9"/>
  <c r="H47" i="9" s="1"/>
  <c r="K46" i="9"/>
  <c r="F46" i="9"/>
  <c r="H46" i="9" s="1"/>
  <c r="K58" i="9"/>
  <c r="F58" i="9"/>
  <c r="H58" i="9" s="1"/>
  <c r="K57" i="9"/>
  <c r="F57" i="9"/>
  <c r="H57" i="9" s="1"/>
  <c r="K56" i="9"/>
  <c r="F56" i="9"/>
  <c r="H56" i="9" s="1"/>
  <c r="J55" i="9"/>
  <c r="K55" i="9" s="1"/>
  <c r="F63" i="9"/>
  <c r="H63" i="9" s="1"/>
  <c r="K62" i="9"/>
  <c r="F62" i="9"/>
  <c r="H62" i="9" s="1"/>
  <c r="K61" i="9"/>
  <c r="F61" i="9"/>
  <c r="H61" i="9" s="1"/>
  <c r="F60" i="9"/>
  <c r="H60" i="9" s="1"/>
  <c r="J59" i="9"/>
  <c r="K59" i="9" s="1"/>
  <c r="J54" i="9"/>
  <c r="K54" i="9" s="1"/>
  <c r="J53" i="9"/>
  <c r="K53" i="9" s="1"/>
  <c r="J52" i="9"/>
  <c r="K52" i="9" s="1"/>
  <c r="K51" i="9"/>
  <c r="F51" i="9"/>
  <c r="H51" i="9" s="1"/>
  <c r="K50" i="9"/>
  <c r="F50" i="9"/>
  <c r="H50" i="9" s="1"/>
  <c r="K49" i="9"/>
  <c r="F49" i="9"/>
  <c r="H49" i="9" s="1"/>
  <c r="K43" i="9"/>
  <c r="F43" i="9"/>
  <c r="H43" i="9" s="1"/>
  <c r="F41" i="9"/>
  <c r="H41" i="9" s="1"/>
  <c r="F42" i="9"/>
  <c r="H42" i="9" s="1"/>
  <c r="K42" i="9"/>
  <c r="J40" i="9"/>
  <c r="K40" i="9" s="1"/>
  <c r="J36" i="9"/>
  <c r="K36" i="9" s="1"/>
  <c r="K39" i="9"/>
  <c r="F39" i="9"/>
  <c r="H39" i="9" s="1"/>
  <c r="K38" i="9"/>
  <c r="F38" i="9"/>
  <c r="H38" i="9" s="1"/>
  <c r="F37" i="9"/>
  <c r="H37" i="9" s="1"/>
  <c r="J31" i="9"/>
  <c r="K31" i="9" s="1"/>
  <c r="K34" i="9"/>
  <c r="H34" i="9"/>
  <c r="K33" i="9"/>
  <c r="H33" i="9"/>
  <c r="K32" i="9"/>
  <c r="H32" i="9"/>
  <c r="K26" i="9"/>
  <c r="H26" i="9"/>
  <c r="K25" i="9"/>
  <c r="H25" i="9"/>
  <c r="K24" i="9"/>
  <c r="H24" i="9"/>
  <c r="K30" i="9"/>
  <c r="H30" i="9"/>
  <c r="K29" i="9"/>
  <c r="H29" i="9"/>
  <c r="J23" i="9"/>
  <c r="K23" i="9" s="1"/>
  <c r="J21" i="9"/>
  <c r="K21" i="9" s="1"/>
  <c r="J19" i="9"/>
  <c r="K19" i="9" s="1"/>
  <c r="J16" i="9"/>
  <c r="K16" i="9" s="1"/>
  <c r="H23" i="9"/>
  <c r="H21" i="9"/>
  <c r="H19" i="9"/>
  <c r="J17" i="9"/>
  <c r="K17" i="9" s="1"/>
  <c r="J22" i="9"/>
  <c r="K22" i="9" s="1"/>
  <c r="J20" i="9"/>
  <c r="K20" i="9" s="1"/>
  <c r="J18" i="9"/>
  <c r="K18" i="9" s="1"/>
  <c r="J15" i="9"/>
  <c r="K15" i="9" s="1"/>
  <c r="H22" i="9"/>
  <c r="H20" i="9"/>
  <c r="H18" i="9"/>
  <c r="K82" i="8"/>
  <c r="H82" i="8" s="1"/>
  <c r="K81" i="8"/>
  <c r="H81" i="8" s="1"/>
  <c r="K80" i="8"/>
  <c r="H80" i="8" s="1"/>
  <c r="K79" i="8"/>
  <c r="H79" i="8" s="1"/>
  <c r="K78" i="8"/>
  <c r="H78" i="8" s="1"/>
  <c r="K77" i="8"/>
  <c r="H77" i="8" s="1"/>
  <c r="K76" i="8"/>
  <c r="K75" i="8"/>
  <c r="H75" i="8" s="1"/>
  <c r="K74" i="8"/>
  <c r="H74" i="8" s="1"/>
  <c r="K73" i="8"/>
  <c r="H73" i="8" s="1"/>
  <c r="K72" i="8"/>
  <c r="H72" i="8" s="1"/>
  <c r="H76" i="8"/>
  <c r="I82" i="8"/>
  <c r="I81" i="8"/>
  <c r="I80" i="8"/>
  <c r="I79" i="8"/>
  <c r="I78" i="8"/>
  <c r="I77" i="8"/>
  <c r="I76" i="8"/>
  <c r="I75" i="8"/>
  <c r="I74" i="8"/>
  <c r="I73" i="8"/>
  <c r="I72" i="8"/>
  <c r="K94" i="8"/>
  <c r="H94" i="8" s="1"/>
  <c r="K93" i="8"/>
  <c r="H93" i="8" s="1"/>
  <c r="K92" i="8"/>
  <c r="H92" i="8" s="1"/>
  <c r="K91" i="8"/>
  <c r="H91" i="8" s="1"/>
  <c r="K90" i="8"/>
  <c r="H90" i="8" s="1"/>
  <c r="K89" i="8"/>
  <c r="H89" i="8" s="1"/>
  <c r="K88" i="8"/>
  <c r="H88" i="8" s="1"/>
  <c r="K87" i="8"/>
  <c r="H87" i="8" s="1"/>
  <c r="K86" i="8"/>
  <c r="H86" i="8" s="1"/>
  <c r="K85" i="8"/>
  <c r="H85" i="8" s="1"/>
  <c r="K84" i="8"/>
  <c r="H84" i="8" s="1"/>
  <c r="I94" i="8"/>
  <c r="I93" i="8"/>
  <c r="I92" i="8"/>
  <c r="I91" i="8"/>
  <c r="I90" i="8"/>
  <c r="I89" i="8"/>
  <c r="I88" i="8"/>
  <c r="I87" i="8"/>
  <c r="I86" i="8"/>
  <c r="I85" i="8"/>
  <c r="I84" i="8"/>
  <c r="K62" i="8"/>
  <c r="H62" i="8" s="1"/>
  <c r="I62" i="8"/>
  <c r="K60" i="8"/>
  <c r="H60" i="8" s="1"/>
  <c r="I60" i="8"/>
  <c r="K61" i="8"/>
  <c r="H61" i="8" s="1"/>
  <c r="I61" i="8"/>
  <c r="K68" i="8"/>
  <c r="H68" i="8" s="1"/>
  <c r="I68" i="8"/>
  <c r="K70" i="8"/>
  <c r="H70" i="8" s="1"/>
  <c r="I70" i="8"/>
  <c r="K69" i="8"/>
  <c r="H69" i="8" s="1"/>
  <c r="I69" i="8"/>
  <c r="K67" i="8"/>
  <c r="H67" i="8" s="1"/>
  <c r="I67" i="8"/>
  <c r="K65" i="8"/>
  <c r="H65" i="8" s="1"/>
  <c r="I65" i="8"/>
  <c r="K66" i="8"/>
  <c r="H66" i="8" s="1"/>
  <c r="I66" i="8"/>
  <c r="K64" i="8"/>
  <c r="H64" i="8" s="1"/>
  <c r="I64" i="8"/>
  <c r="K63" i="8"/>
  <c r="H63" i="8" s="1"/>
  <c r="I63" i="8"/>
  <c r="K71" i="8"/>
  <c r="H71" i="8" s="1"/>
  <c r="K59" i="8"/>
  <c r="H59" i="8" s="1"/>
  <c r="K118" i="8"/>
  <c r="H118" i="8" s="1"/>
  <c r="K117" i="8"/>
  <c r="H117" i="8" s="1"/>
  <c r="K116" i="8"/>
  <c r="H116" i="8" s="1"/>
  <c r="K115" i="8"/>
  <c r="H115" i="8" s="1"/>
  <c r="K114" i="8"/>
  <c r="H114" i="8" s="1"/>
  <c r="K113" i="8"/>
  <c r="H113" i="8" s="1"/>
  <c r="I118" i="8"/>
  <c r="I117" i="8"/>
  <c r="I116" i="8"/>
  <c r="I115" i="8"/>
  <c r="I114" i="8"/>
  <c r="I113" i="8"/>
  <c r="K112" i="8"/>
  <c r="H112" i="8" s="1"/>
  <c r="K111" i="8"/>
  <c r="H111" i="8" s="1"/>
  <c r="K110" i="8"/>
  <c r="H110" i="8" s="1"/>
  <c r="K109" i="8"/>
  <c r="H109" i="8" s="1"/>
  <c r="K108" i="8"/>
  <c r="H108" i="8" s="1"/>
  <c r="K107" i="8"/>
  <c r="H107" i="8" s="1"/>
  <c r="I112" i="8"/>
  <c r="I111" i="8"/>
  <c r="I110" i="8"/>
  <c r="I109" i="8"/>
  <c r="I108" i="8"/>
  <c r="I107" i="8"/>
  <c r="K106" i="8"/>
  <c r="H106" i="8" s="1"/>
  <c r="K105" i="8"/>
  <c r="H105" i="8" s="1"/>
  <c r="K104" i="8"/>
  <c r="H104" i="8" s="1"/>
  <c r="K103" i="8"/>
  <c r="H103" i="8" s="1"/>
  <c r="K102" i="8"/>
  <c r="H102" i="8" s="1"/>
  <c r="I106" i="8"/>
  <c r="I105" i="8"/>
  <c r="I104" i="8"/>
  <c r="I103" i="8"/>
  <c r="I102" i="8"/>
  <c r="K98" i="8"/>
  <c r="H98" i="8" s="1"/>
  <c r="I98" i="8"/>
  <c r="K99" i="8"/>
  <c r="H99" i="8" s="1"/>
  <c r="I99" i="8"/>
  <c r="K97" i="8"/>
  <c r="H97" i="8" s="1"/>
  <c r="I97" i="8"/>
  <c r="K100" i="8"/>
  <c r="H100" i="8" s="1"/>
  <c r="I100" i="8"/>
  <c r="K96" i="8"/>
  <c r="H96" i="8" s="1"/>
  <c r="I96" i="8"/>
  <c r="K95" i="8"/>
  <c r="H95" i="8" s="1"/>
  <c r="I95" i="8"/>
  <c r="K119" i="8"/>
  <c r="H119" i="8" s="1"/>
  <c r="K155" i="8"/>
  <c r="H155" i="8" s="1"/>
  <c r="K153" i="8"/>
  <c r="H153" i="8" s="1"/>
  <c r="K152" i="8"/>
  <c r="H152" i="8" s="1"/>
  <c r="I153" i="8"/>
  <c r="I152" i="8"/>
  <c r="K154" i="8"/>
  <c r="H154" i="8" s="1"/>
  <c r="I155" i="8"/>
  <c r="K150" i="8"/>
  <c r="H150" i="8" s="1"/>
  <c r="K149" i="8"/>
  <c r="H149" i="8" s="1"/>
  <c r="K148" i="8"/>
  <c r="H148" i="8" s="1"/>
  <c r="K147" i="8"/>
  <c r="H147" i="8" s="1"/>
  <c r="K146" i="8"/>
  <c r="H146" i="8" s="1"/>
  <c r="K145" i="8"/>
  <c r="H145" i="8" s="1"/>
  <c r="K144" i="8"/>
  <c r="H144" i="8" s="1"/>
  <c r="K143" i="8"/>
  <c r="H143" i="8" s="1"/>
  <c r="K142" i="8"/>
  <c r="H142" i="8" s="1"/>
  <c r="K139" i="8"/>
  <c r="H139" i="8" s="1"/>
  <c r="K138" i="8"/>
  <c r="H138" i="8" s="1"/>
  <c r="K137" i="8"/>
  <c r="H137" i="8" s="1"/>
  <c r="K135" i="8"/>
  <c r="H135" i="8" s="1"/>
  <c r="K134" i="8"/>
  <c r="H134" i="8" s="1"/>
  <c r="K133" i="8"/>
  <c r="H133" i="8" s="1"/>
  <c r="K131" i="8"/>
  <c r="H131" i="8" s="1"/>
  <c r="K136" i="8"/>
  <c r="H136" i="8" s="1"/>
  <c r="K132" i="8"/>
  <c r="H132" i="8" s="1"/>
  <c r="K130" i="8"/>
  <c r="H130" i="8" s="1"/>
  <c r="K129" i="8"/>
  <c r="H129" i="8" s="1"/>
  <c r="K128" i="8"/>
  <c r="H128" i="8" s="1"/>
  <c r="K141" i="8"/>
  <c r="H141" i="8" s="1"/>
  <c r="K140" i="8"/>
  <c r="H140" i="8" s="1"/>
  <c r="K51" i="8"/>
  <c r="H51" i="8" s="1"/>
  <c r="I51" i="8"/>
  <c r="K49" i="8"/>
  <c r="H49" i="8" s="1"/>
  <c r="I49" i="8"/>
  <c r="K47" i="8"/>
  <c r="H47" i="8" s="1"/>
  <c r="I154" i="8"/>
  <c r="I47" i="8"/>
  <c r="G125" i="8"/>
  <c r="I125" i="8" s="1"/>
  <c r="G124" i="8"/>
  <c r="I124" i="8" s="1"/>
  <c r="G123" i="8"/>
  <c r="I123" i="8" s="1"/>
  <c r="K44" i="9"/>
  <c r="H44" i="9"/>
  <c r="K35" i="9"/>
  <c r="H35" i="9"/>
  <c r="J27" i="9"/>
  <c r="K27" i="9" s="1"/>
  <c r="H27" i="9"/>
  <c r="H28" i="9"/>
  <c r="I133" i="8"/>
  <c r="I134" i="8"/>
  <c r="I135" i="8"/>
  <c r="I136" i="8"/>
  <c r="K45" i="8"/>
  <c r="H45" i="8" s="1"/>
  <c r="I45" i="8"/>
  <c r="K151" i="8"/>
  <c r="H151" i="8" s="1"/>
  <c r="K127" i="8"/>
  <c r="H127" i="8" s="1"/>
  <c r="K126" i="8"/>
  <c r="H126" i="8" s="1"/>
  <c r="K36" i="8"/>
  <c r="H36" i="8" s="1"/>
  <c r="K24" i="8"/>
  <c r="H24" i="8" s="1"/>
  <c r="K120" i="8"/>
  <c r="H120" i="8" s="1"/>
  <c r="K83" i="8"/>
  <c r="H83" i="8" s="1"/>
  <c r="K58" i="8"/>
  <c r="H58" i="8" s="1"/>
  <c r="K39" i="8"/>
  <c r="H39" i="8" s="1"/>
  <c r="K27" i="8"/>
  <c r="H27" i="8" s="1"/>
  <c r="K50" i="8"/>
  <c r="H50" i="8" s="1"/>
  <c r="K43" i="8"/>
  <c r="H43" i="8" s="1"/>
  <c r="K34" i="8"/>
  <c r="H34" i="8" s="1"/>
  <c r="K35" i="8"/>
  <c r="H35" i="8" s="1"/>
  <c r="K23" i="8"/>
  <c r="H23" i="8" s="1"/>
  <c r="K19" i="8"/>
  <c r="H19" i="8" s="1"/>
  <c r="K48" i="8"/>
  <c r="H48" i="8" s="1"/>
  <c r="K46" i="8"/>
  <c r="H46" i="8" s="1"/>
  <c r="K44" i="8"/>
  <c r="H44" i="8" s="1"/>
  <c r="K42" i="8"/>
  <c r="H42" i="8" s="1"/>
  <c r="K41" i="8"/>
  <c r="H41" i="8" s="1"/>
  <c r="K40" i="8"/>
  <c r="H40" i="8" s="1"/>
  <c r="K101" i="8"/>
  <c r="H101" i="8" s="1"/>
  <c r="K57" i="8"/>
  <c r="H57" i="8" s="1"/>
  <c r="K56" i="8"/>
  <c r="H56" i="8" s="1"/>
  <c r="K55" i="8"/>
  <c r="H55" i="8" s="1"/>
  <c r="I59" i="8"/>
  <c r="I35" i="8"/>
  <c r="K33" i="8"/>
  <c r="H33" i="8" s="1"/>
  <c r="I33" i="8"/>
  <c r="K31" i="8"/>
  <c r="H31" i="8" s="1"/>
  <c r="I31" i="8"/>
  <c r="K29" i="8"/>
  <c r="H29" i="8" s="1"/>
  <c r="I29" i="8"/>
  <c r="K32" i="8"/>
  <c r="H32" i="8" s="1"/>
  <c r="K30" i="8"/>
  <c r="H30" i="8" s="1"/>
  <c r="K28" i="8"/>
  <c r="H28" i="8" s="1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30" i="8"/>
  <c r="I32" i="8"/>
  <c r="I34" i="8"/>
  <c r="I36" i="8"/>
  <c r="I37" i="8"/>
  <c r="I38" i="8"/>
  <c r="I39" i="8"/>
  <c r="I40" i="8"/>
  <c r="I41" i="8"/>
  <c r="I42" i="8"/>
  <c r="I43" i="8"/>
  <c r="I44" i="8"/>
  <c r="I46" i="8"/>
  <c r="I48" i="8"/>
  <c r="I50" i="8"/>
  <c r="I52" i="8"/>
  <c r="I53" i="8"/>
  <c r="I54" i="8"/>
  <c r="I55" i="8"/>
  <c r="I56" i="8"/>
  <c r="I57" i="8"/>
  <c r="I58" i="8"/>
  <c r="I119" i="8"/>
  <c r="I120" i="8"/>
  <c r="I121" i="8"/>
  <c r="I126" i="8"/>
  <c r="I127" i="8"/>
  <c r="I128" i="8"/>
  <c r="I129" i="8"/>
  <c r="I130" i="8"/>
  <c r="I131" i="8"/>
  <c r="I132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F45" i="9"/>
  <c r="H45" i="9" s="1"/>
  <c r="K22" i="8"/>
  <c r="H22" i="8" s="1"/>
  <c r="K21" i="8"/>
  <c r="H21" i="8" s="1"/>
  <c r="K20" i="8"/>
  <c r="H20" i="8" s="1"/>
  <c r="K18" i="8"/>
  <c r="H18" i="8" s="1"/>
  <c r="K17" i="8"/>
  <c r="H17" i="8" s="1"/>
  <c r="K16" i="8"/>
  <c r="H16" i="8" s="1"/>
  <c r="K63" i="9"/>
  <c r="K60" i="9"/>
  <c r="H59" i="9"/>
  <c r="H54" i="9"/>
  <c r="H53" i="9"/>
  <c r="H55" i="9"/>
  <c r="H52" i="9"/>
  <c r="K45" i="9"/>
  <c r="H40" i="9"/>
  <c r="K41" i="9"/>
  <c r="H36" i="9"/>
  <c r="K37" i="9"/>
  <c r="H31" i="9"/>
  <c r="K28" i="9"/>
  <c r="H15" i="9"/>
  <c r="H17" i="9"/>
  <c r="H16" i="9"/>
  <c r="H25" i="8"/>
  <c r="H26" i="8"/>
  <c r="H37" i="8"/>
  <c r="H38" i="8"/>
  <c r="H121" i="8"/>
  <c r="H123" i="8"/>
  <c r="H124" i="8"/>
  <c r="H125" i="8"/>
  <c r="I101" i="8"/>
  <c r="I83" i="8"/>
  <c r="K54" i="8"/>
  <c r="H54" i="8" s="1"/>
  <c r="K53" i="8"/>
  <c r="H53" i="8" s="1"/>
  <c r="K52" i="8"/>
  <c r="H52" i="8" s="1"/>
  <c r="H8" i="5"/>
  <c r="M8" i="5" s="1"/>
  <c r="N8" i="5" s="1"/>
  <c r="H7" i="5"/>
  <c r="M7" i="5" s="1"/>
  <c r="N7" i="5" s="1"/>
  <c r="F19" i="5"/>
  <c r="J19" i="5" s="1"/>
  <c r="L19" i="5"/>
  <c r="H19" i="5" s="1"/>
  <c r="F18" i="5"/>
  <c r="J18" i="5" s="1"/>
  <c r="L18" i="5"/>
  <c r="H18" i="5" s="1"/>
  <c r="L17" i="5"/>
  <c r="H17" i="5" s="1"/>
  <c r="J17" i="5"/>
  <c r="F16" i="5"/>
  <c r="J16" i="5" s="1"/>
  <c r="L16" i="5"/>
  <c r="H16" i="5" s="1"/>
  <c r="L12" i="5"/>
  <c r="H12" i="5" s="1"/>
  <c r="J12" i="5"/>
  <c r="L11" i="5"/>
  <c r="H11" i="5" s="1"/>
  <c r="J11" i="5"/>
  <c r="J20" i="5"/>
  <c r="H20" i="5"/>
  <c r="L13" i="5"/>
  <c r="H13" i="5" s="1"/>
  <c r="L14" i="5"/>
  <c r="H14" i="5" s="1"/>
  <c r="L15" i="5"/>
  <c r="H15" i="5" s="1"/>
  <c r="F15" i="5"/>
  <c r="J15" i="5" s="1"/>
  <c r="J14" i="5"/>
  <c r="H6" i="5"/>
  <c r="H9" i="5"/>
  <c r="J13" i="5"/>
  <c r="H10" i="5"/>
  <c r="M10" i="5" s="1"/>
  <c r="N10" i="5" s="1"/>
  <c r="L91" i="3"/>
  <c r="L92" i="3"/>
  <c r="L90" i="3"/>
  <c r="L78" i="3"/>
  <c r="L77" i="3"/>
  <c r="L76" i="3"/>
  <c r="L75" i="3"/>
  <c r="L74" i="3"/>
  <c r="L73" i="3"/>
  <c r="F85" i="3"/>
  <c r="J85" i="3" s="1"/>
  <c r="M85" i="3" s="1"/>
  <c r="N85" i="3" s="1"/>
  <c r="F84" i="3"/>
  <c r="J84" i="3" s="1"/>
  <c r="M84" i="3" s="1"/>
  <c r="N84" i="3" s="1"/>
  <c r="J102" i="3"/>
  <c r="H102" i="3"/>
  <c r="J99" i="3"/>
  <c r="H99" i="3"/>
  <c r="J105" i="3"/>
  <c r="H105" i="3"/>
  <c r="J100" i="3"/>
  <c r="H100" i="3"/>
  <c r="J98" i="3"/>
  <c r="H98" i="3"/>
  <c r="J97" i="3"/>
  <c r="H97" i="3"/>
  <c r="J96" i="3"/>
  <c r="H96" i="3"/>
  <c r="H101" i="3"/>
  <c r="H103" i="3"/>
  <c r="H104" i="3"/>
  <c r="J101" i="3"/>
  <c r="J103" i="3"/>
  <c r="J104" i="3"/>
  <c r="J93" i="3"/>
  <c r="H93" i="3"/>
  <c r="H94" i="3"/>
  <c r="H95" i="3"/>
  <c r="J94" i="3"/>
  <c r="J95" i="3"/>
  <c r="F89" i="3"/>
  <c r="J89" i="3" s="1"/>
  <c r="M89" i="3" s="1"/>
  <c r="N89" i="3" s="1"/>
  <c r="F75" i="3"/>
  <c r="J75" i="3" s="1"/>
  <c r="M75" i="3" s="1"/>
  <c r="N75" i="3" s="1"/>
  <c r="F76" i="3"/>
  <c r="J76" i="3" s="1"/>
  <c r="M76" i="3" s="1"/>
  <c r="N76" i="3" s="1"/>
  <c r="F77" i="3"/>
  <c r="J77" i="3" s="1"/>
  <c r="M77" i="3" s="1"/>
  <c r="N77" i="3" s="1"/>
  <c r="F47" i="3"/>
  <c r="J47" i="3" s="1"/>
  <c r="M47" i="3" s="1"/>
  <c r="N47" i="3" s="1"/>
  <c r="F38" i="3"/>
  <c r="J38" i="3" s="1"/>
  <c r="M38" i="3" s="1"/>
  <c r="N38" i="3" s="1"/>
  <c r="F31" i="3"/>
  <c r="J31" i="3" s="1"/>
  <c r="M31" i="3" s="1"/>
  <c r="N31" i="3" s="1"/>
  <c r="F32" i="3"/>
  <c r="J32" i="3" s="1"/>
  <c r="M32" i="3" s="1"/>
  <c r="N32" i="3" s="1"/>
  <c r="F37" i="3"/>
  <c r="J37" i="3" s="1"/>
  <c r="M37" i="3" s="1"/>
  <c r="N37" i="3" s="1"/>
  <c r="F74" i="3"/>
  <c r="J74" i="3" s="1"/>
  <c r="M74" i="3" s="1"/>
  <c r="N74" i="3" s="1"/>
  <c r="F83" i="3"/>
  <c r="J83" i="3" s="1"/>
  <c r="M83" i="3" s="1"/>
  <c r="N83" i="3" s="1"/>
  <c r="F66" i="3"/>
  <c r="J66" i="3" s="1"/>
  <c r="M66" i="3" s="1"/>
  <c r="N66" i="3" s="1"/>
  <c r="F70" i="3"/>
  <c r="J70" i="3" s="1"/>
  <c r="M70" i="3" s="1"/>
  <c r="N70" i="3" s="1"/>
  <c r="F67" i="3"/>
  <c r="J67" i="3" s="1"/>
  <c r="M67" i="3" s="1"/>
  <c r="N67" i="3" s="1"/>
  <c r="F71" i="3"/>
  <c r="J71" i="3" s="1"/>
  <c r="M71" i="3" s="1"/>
  <c r="N71" i="3" s="1"/>
  <c r="F35" i="3"/>
  <c r="J35" i="3" s="1"/>
  <c r="M35" i="3" s="1"/>
  <c r="N35" i="3" s="1"/>
  <c r="F33" i="3"/>
  <c r="J33" i="3" s="1"/>
  <c r="M33" i="3" s="1"/>
  <c r="N33" i="3" s="1"/>
  <c r="F28" i="3"/>
  <c r="J28" i="3" s="1"/>
  <c r="F78" i="3"/>
  <c r="J78" i="3" s="1"/>
  <c r="M78" i="3" s="1"/>
  <c r="N78" i="3" s="1"/>
  <c r="F22" i="3"/>
  <c r="J22" i="3" s="1"/>
  <c r="M22" i="3" s="1"/>
  <c r="N22" i="3" s="1"/>
  <c r="F21" i="3"/>
  <c r="J21" i="3" s="1"/>
  <c r="M21" i="3" s="1"/>
  <c r="N21" i="3" s="1"/>
  <c r="F40" i="3"/>
  <c r="J40" i="3" s="1"/>
  <c r="M40" i="3" s="1"/>
  <c r="N40" i="3" s="1"/>
  <c r="F19" i="3"/>
  <c r="J19" i="3" s="1"/>
  <c r="M19" i="3" s="1"/>
  <c r="N19" i="3" s="1"/>
  <c r="F18" i="3"/>
  <c r="J18" i="3" s="1"/>
  <c r="M18" i="3" s="1"/>
  <c r="N18" i="3" s="1"/>
  <c r="F20" i="3"/>
  <c r="J20" i="3" s="1"/>
  <c r="M20" i="3" s="1"/>
  <c r="N20" i="3" s="1"/>
  <c r="F41" i="3"/>
  <c r="J41" i="3" s="1"/>
  <c r="M41" i="3" s="1"/>
  <c r="N41" i="3" s="1"/>
  <c r="F23" i="3"/>
  <c r="J23" i="3" s="1"/>
  <c r="M23" i="3" s="1"/>
  <c r="N23" i="3" s="1"/>
  <c r="F50" i="3"/>
  <c r="J50" i="3" s="1"/>
  <c r="M50" i="3" s="1"/>
  <c r="N50" i="3" s="1"/>
  <c r="F27" i="3"/>
  <c r="J27" i="3" s="1"/>
  <c r="M27" i="3" s="1"/>
  <c r="N27" i="3" s="1"/>
  <c r="F24" i="3"/>
  <c r="J24" i="3" s="1"/>
  <c r="M24" i="3" s="1"/>
  <c r="N24" i="3" s="1"/>
  <c r="F63" i="3"/>
  <c r="J63" i="3" s="1"/>
  <c r="M63" i="3" s="1"/>
  <c r="N63" i="3" s="1"/>
  <c r="F17" i="3"/>
  <c r="J17" i="3" s="1"/>
  <c r="M17" i="3" s="1"/>
  <c r="N17" i="3" s="1"/>
  <c r="F56" i="3"/>
  <c r="J56" i="3" s="1"/>
  <c r="M56" i="3" s="1"/>
  <c r="N56" i="3" s="1"/>
  <c r="F55" i="3"/>
  <c r="J55" i="3" s="1"/>
  <c r="M55" i="3" s="1"/>
  <c r="N55" i="3" s="1"/>
  <c r="F16" i="3"/>
  <c r="J16" i="3" s="1"/>
  <c r="M16" i="3" s="1"/>
  <c r="N16" i="3" s="1"/>
  <c r="F15" i="3"/>
  <c r="J15" i="3" s="1"/>
  <c r="M15" i="3" s="1"/>
  <c r="N15" i="3" s="1"/>
  <c r="F79" i="3"/>
  <c r="J79" i="3" s="1"/>
  <c r="M79" i="3" s="1"/>
  <c r="N79" i="3" s="1"/>
  <c r="F81" i="3"/>
  <c r="J81" i="3" s="1"/>
  <c r="M81" i="3" s="1"/>
  <c r="N81" i="3" s="1"/>
  <c r="F10" i="3"/>
  <c r="J10" i="3" s="1"/>
  <c r="M10" i="3" s="1"/>
  <c r="N10" i="3" s="1"/>
  <c r="F73" i="3"/>
  <c r="J73" i="3" s="1"/>
  <c r="M73" i="3" s="1"/>
  <c r="N73" i="3" s="1"/>
  <c r="F45" i="3"/>
  <c r="J45" i="3" s="1"/>
  <c r="M45" i="3" s="1"/>
  <c r="N45" i="3" s="1"/>
  <c r="F11" i="3"/>
  <c r="J11" i="3" s="1"/>
  <c r="M11" i="3" s="1"/>
  <c r="N11" i="3" s="1"/>
  <c r="F44" i="3"/>
  <c r="J44" i="3" s="1"/>
  <c r="M44" i="3" s="1"/>
  <c r="N44" i="3" s="1"/>
  <c r="J14" i="3"/>
  <c r="M14" i="3" s="1"/>
  <c r="N14" i="3" s="1"/>
  <c r="F12" i="3"/>
  <c r="J12" i="3" s="1"/>
  <c r="M12" i="3" s="1"/>
  <c r="N12" i="3" s="1"/>
  <c r="F13" i="3"/>
  <c r="J13" i="3" s="1"/>
  <c r="M13" i="3" s="1"/>
  <c r="N13" i="3" s="1"/>
  <c r="F72" i="3"/>
  <c r="J72" i="3" s="1"/>
  <c r="M72" i="3" s="1"/>
  <c r="N72" i="3" s="1"/>
  <c r="F7" i="3"/>
  <c r="J7" i="3" s="1"/>
  <c r="M7" i="3" s="1"/>
  <c r="N7" i="3" s="1"/>
  <c r="F6" i="3"/>
  <c r="J6" i="3" s="1"/>
  <c r="M6" i="3" s="1"/>
  <c r="N6" i="3" s="1"/>
  <c r="F9" i="3"/>
  <c r="J9" i="3" s="1"/>
  <c r="M9" i="3" s="1"/>
  <c r="N9" i="3" s="1"/>
  <c r="F8" i="3"/>
  <c r="J8" i="3" s="1"/>
  <c r="M8" i="3" s="1"/>
  <c r="N8" i="3" s="1"/>
  <c r="J90" i="3"/>
  <c r="M90" i="3" s="1"/>
  <c r="N90" i="3" s="1"/>
  <c r="J91" i="3"/>
  <c r="M91" i="3" s="1"/>
  <c r="N91" i="3" s="1"/>
  <c r="J92" i="3"/>
  <c r="M92" i="3" s="1"/>
  <c r="N92" i="3" s="1"/>
  <c r="L88" i="3"/>
  <c r="J88" i="3"/>
  <c r="M88" i="3" s="1"/>
  <c r="N88" i="3" s="1"/>
  <c r="L87" i="3"/>
  <c r="J87" i="3"/>
  <c r="M87" i="3" s="1"/>
  <c r="N87" i="3" s="1"/>
  <c r="L86" i="3"/>
  <c r="J86" i="3"/>
  <c r="M86" i="3" s="1"/>
  <c r="N86" i="3" s="1"/>
  <c r="L83" i="3"/>
  <c r="L82" i="3"/>
  <c r="L85" i="3"/>
  <c r="L84" i="3"/>
  <c r="L81" i="3"/>
  <c r="L80" i="3"/>
  <c r="L79" i="3"/>
  <c r="L70" i="3"/>
  <c r="L71" i="3"/>
  <c r="L72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J64" i="3"/>
  <c r="J65" i="3"/>
  <c r="M65" i="3" s="1"/>
  <c r="N65" i="3" s="1"/>
  <c r="L32" i="3"/>
  <c r="L18" i="3"/>
  <c r="L19" i="3"/>
  <c r="L20" i="3"/>
  <c r="L21" i="3"/>
  <c r="L22" i="3"/>
  <c r="L23" i="3"/>
  <c r="L38" i="3"/>
  <c r="L37" i="3"/>
  <c r="L36" i="3"/>
  <c r="L35" i="3"/>
  <c r="L34" i="3"/>
  <c r="L33" i="3"/>
  <c r="L31" i="3"/>
  <c r="L30" i="3"/>
  <c r="L29" i="3"/>
  <c r="L28" i="3"/>
  <c r="L27" i="3"/>
  <c r="L26" i="3"/>
  <c r="L25" i="3"/>
  <c r="L24" i="3"/>
  <c r="J34" i="3"/>
  <c r="M34" i="3" s="1"/>
  <c r="N34" i="3" s="1"/>
  <c r="J36" i="3"/>
  <c r="M36" i="3" s="1"/>
  <c r="N36" i="3" s="1"/>
  <c r="J25" i="3"/>
  <c r="M25" i="3" s="1"/>
  <c r="N25" i="3" s="1"/>
  <c r="J26" i="3"/>
  <c r="M26" i="3" s="1"/>
  <c r="N26" i="3" s="1"/>
  <c r="J29" i="3"/>
  <c r="M29" i="3" s="1"/>
  <c r="N29" i="3" s="1"/>
  <c r="J30" i="3"/>
  <c r="M30" i="3" s="1"/>
  <c r="N30" i="3" s="1"/>
  <c r="L17" i="3"/>
  <c r="L16" i="3"/>
  <c r="L15" i="3"/>
  <c r="L14" i="3"/>
  <c r="L13" i="3"/>
  <c r="L12" i="3"/>
  <c r="L11" i="3"/>
  <c r="L10" i="3"/>
  <c r="L9" i="3"/>
  <c r="L8" i="3"/>
  <c r="L7" i="3"/>
  <c r="L6" i="3"/>
  <c r="J39" i="3"/>
  <c r="M39" i="3" s="1"/>
  <c r="N39" i="3" s="1"/>
  <c r="J42" i="3"/>
  <c r="M42" i="3" s="1"/>
  <c r="N42" i="3" s="1"/>
  <c r="J43" i="3"/>
  <c r="M43" i="3" s="1"/>
  <c r="N43" i="3" s="1"/>
  <c r="J46" i="3"/>
  <c r="M46" i="3" s="1"/>
  <c r="N46" i="3" s="1"/>
  <c r="J48" i="3"/>
  <c r="M48" i="3" s="1"/>
  <c r="N48" i="3" s="1"/>
  <c r="J49" i="3"/>
  <c r="M49" i="3" s="1"/>
  <c r="N49" i="3" s="1"/>
  <c r="J51" i="3"/>
  <c r="M51" i="3" s="1"/>
  <c r="N51" i="3" s="1"/>
  <c r="J52" i="3"/>
  <c r="M52" i="3" s="1"/>
  <c r="N52" i="3" s="1"/>
  <c r="J53" i="3"/>
  <c r="M53" i="3" s="1"/>
  <c r="N53" i="3" s="1"/>
  <c r="J54" i="3"/>
  <c r="M54" i="3" s="1"/>
  <c r="N54" i="3" s="1"/>
  <c r="J57" i="3"/>
  <c r="M57" i="3" s="1"/>
  <c r="N57" i="3" s="1"/>
  <c r="J58" i="3"/>
  <c r="M58" i="3" s="1"/>
  <c r="N58" i="3" s="1"/>
  <c r="J59" i="3"/>
  <c r="M59" i="3" s="1"/>
  <c r="N59" i="3" s="1"/>
  <c r="J60" i="3"/>
  <c r="M60" i="3" s="1"/>
  <c r="N60" i="3" s="1"/>
  <c r="J61" i="3"/>
  <c r="M61" i="3" s="1"/>
  <c r="N61" i="3" s="1"/>
  <c r="J62" i="3"/>
  <c r="M62" i="3" s="1"/>
  <c r="N62" i="3" s="1"/>
  <c r="J68" i="3"/>
  <c r="M68" i="3" s="1"/>
  <c r="N68" i="3" s="1"/>
  <c r="J69" i="3"/>
  <c r="M69" i="3" s="1"/>
  <c r="N69" i="3" s="1"/>
  <c r="J80" i="3"/>
  <c r="M80" i="3" s="1"/>
  <c r="N80" i="3" s="1"/>
  <c r="J82" i="3"/>
  <c r="M82" i="3" s="1"/>
  <c r="N82" i="3" s="1"/>
  <c r="F49" i="1"/>
  <c r="F47" i="1"/>
  <c r="H47" i="1" s="1"/>
  <c r="L47" i="1" s="1"/>
  <c r="M47" i="1" s="1"/>
  <c r="O12" i="1"/>
  <c r="O11" i="1"/>
  <c r="O15" i="1"/>
  <c r="O14" i="1"/>
  <c r="O10" i="1"/>
  <c r="O8" i="1"/>
  <c r="O6" i="1"/>
  <c r="K13" i="1"/>
  <c r="L13" i="1" s="1"/>
  <c r="M13" i="1" s="1"/>
  <c r="K11" i="1"/>
  <c r="K12" i="1"/>
  <c r="K14" i="1"/>
  <c r="K9" i="1"/>
  <c r="L9" i="1" s="1"/>
  <c r="M9" i="1" s="1"/>
  <c r="K7" i="1"/>
  <c r="L7" i="1" s="1"/>
  <c r="M7" i="1" s="1"/>
  <c r="K15" i="1"/>
  <c r="K10" i="1"/>
  <c r="K8" i="1"/>
  <c r="L8" i="1" s="1"/>
  <c r="M8" i="1" s="1"/>
  <c r="K6" i="1"/>
  <c r="O23" i="2"/>
  <c r="O22" i="2"/>
  <c r="K25" i="2"/>
  <c r="H25" i="2"/>
  <c r="K24" i="2"/>
  <c r="H24" i="2"/>
  <c r="K23" i="2"/>
  <c r="H23" i="2"/>
  <c r="K22" i="2"/>
  <c r="H22" i="2"/>
  <c r="K21" i="2"/>
  <c r="H21" i="2"/>
  <c r="K26" i="2"/>
  <c r="H26" i="2"/>
  <c r="K20" i="2"/>
  <c r="H20" i="2"/>
  <c r="K19" i="2"/>
  <c r="H19" i="2"/>
  <c r="K18" i="2"/>
  <c r="H18" i="2"/>
  <c r="K17" i="2"/>
  <c r="H17" i="2"/>
  <c r="K16" i="2"/>
  <c r="H16" i="2"/>
  <c r="K15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0" i="2"/>
  <c r="H37" i="2"/>
  <c r="H36" i="2"/>
  <c r="H35" i="2"/>
  <c r="H34" i="2"/>
  <c r="H33" i="2"/>
  <c r="H32" i="2"/>
  <c r="H31" i="2"/>
  <c r="H30" i="2"/>
  <c r="H29" i="2"/>
  <c r="H28" i="2"/>
  <c r="H27" i="2"/>
  <c r="H15" i="2"/>
  <c r="H14" i="2"/>
  <c r="H38" i="2"/>
  <c r="H39" i="2"/>
  <c r="K14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F41" i="2"/>
  <c r="H41" i="2" s="1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L15" i="2" l="1"/>
  <c r="M15" i="2" s="1"/>
  <c r="I71" i="8"/>
  <c r="M20" i="5"/>
  <c r="N20" i="5" s="1"/>
  <c r="M12" i="5"/>
  <c r="N12" i="5" s="1"/>
  <c r="M11" i="5"/>
  <c r="N11" i="5" s="1"/>
  <c r="M19" i="5"/>
  <c r="N19" i="5" s="1"/>
  <c r="M18" i="5"/>
  <c r="N18" i="5" s="1"/>
  <c r="M17" i="5"/>
  <c r="N17" i="5" s="1"/>
  <c r="M16" i="5"/>
  <c r="N16" i="5" s="1"/>
  <c r="M9" i="5"/>
  <c r="N9" i="5" s="1"/>
  <c r="M6" i="5"/>
  <c r="N6" i="5" s="1"/>
  <c r="M15" i="5"/>
  <c r="N15" i="5" s="1"/>
  <c r="M14" i="5"/>
  <c r="N14" i="5" s="1"/>
  <c r="M13" i="5"/>
  <c r="N13" i="5" s="1"/>
  <c r="L44" i="2"/>
  <c r="M44" i="2" s="1"/>
  <c r="M102" i="3"/>
  <c r="N102" i="3" s="1"/>
  <c r="M99" i="3"/>
  <c r="N99" i="3" s="1"/>
  <c r="M105" i="3"/>
  <c r="N105" i="3" s="1"/>
  <c r="M104" i="3"/>
  <c r="N104" i="3" s="1"/>
  <c r="M96" i="3"/>
  <c r="N96" i="3" s="1"/>
  <c r="M103" i="3"/>
  <c r="N103" i="3" s="1"/>
  <c r="M101" i="3"/>
  <c r="N101" i="3" s="1"/>
  <c r="M100" i="3"/>
  <c r="N100" i="3" s="1"/>
  <c r="M98" i="3"/>
  <c r="N98" i="3" s="1"/>
  <c r="M97" i="3"/>
  <c r="N97" i="3" s="1"/>
  <c r="M93" i="3"/>
  <c r="N93" i="3" s="1"/>
  <c r="M95" i="3"/>
  <c r="N95" i="3" s="1"/>
  <c r="M94" i="3"/>
  <c r="N94" i="3" s="1"/>
  <c r="M64" i="3"/>
  <c r="N64" i="3" s="1"/>
  <c r="M28" i="3"/>
  <c r="N28" i="3" s="1"/>
  <c r="L21" i="2"/>
  <c r="M21" i="2" s="1"/>
  <c r="L22" i="2"/>
  <c r="M22" i="2" s="1"/>
  <c r="L23" i="2"/>
  <c r="M23" i="2" s="1"/>
  <c r="L24" i="2"/>
  <c r="M24" i="2" s="1"/>
  <c r="L25" i="2"/>
  <c r="M25" i="2" s="1"/>
  <c r="L53" i="2"/>
  <c r="M53" i="2" s="1"/>
  <c r="L26" i="2"/>
  <c r="M26" i="2" s="1"/>
  <c r="L20" i="2"/>
  <c r="M20" i="2" s="1"/>
  <c r="L27" i="2"/>
  <c r="M27" i="2" s="1"/>
  <c r="L14" i="2"/>
  <c r="M14" i="2" s="1"/>
  <c r="L17" i="2"/>
  <c r="M17" i="2" s="1"/>
  <c r="L18" i="2"/>
  <c r="M18" i="2" s="1"/>
  <c r="L19" i="2"/>
  <c r="M19" i="2" s="1"/>
  <c r="L16" i="2"/>
  <c r="M16" i="2" s="1"/>
  <c r="L42" i="2"/>
  <c r="M42" i="2" s="1"/>
  <c r="L60" i="2"/>
  <c r="M60" i="2" s="1"/>
  <c r="L39" i="2"/>
  <c r="M39" i="2" s="1"/>
  <c r="L57" i="2"/>
  <c r="M57" i="2" s="1"/>
  <c r="L52" i="2"/>
  <c r="M52" i="2" s="1"/>
  <c r="L45" i="2"/>
  <c r="M45" i="2" s="1"/>
  <c r="L46" i="2"/>
  <c r="M46" i="2" s="1"/>
  <c r="L47" i="2"/>
  <c r="M47" i="2" s="1"/>
  <c r="L55" i="2"/>
  <c r="M55" i="2" s="1"/>
  <c r="L56" i="2"/>
  <c r="M56" i="2" s="1"/>
  <c r="L50" i="2"/>
  <c r="M50" i="2" s="1"/>
  <c r="L51" i="2"/>
  <c r="M51" i="2" s="1"/>
  <c r="L59" i="2"/>
  <c r="M59" i="2" s="1"/>
  <c r="L58" i="2"/>
  <c r="M58" i="2" s="1"/>
  <c r="L54" i="2"/>
  <c r="M54" i="2" s="1"/>
  <c r="L48" i="2"/>
  <c r="M48" i="2" s="1"/>
  <c r="L43" i="2"/>
  <c r="M43" i="2" s="1"/>
  <c r="L41" i="2"/>
  <c r="M41" i="2" s="1"/>
  <c r="L36" i="2"/>
  <c r="M36" i="2" s="1"/>
  <c r="L40" i="2"/>
  <c r="M40" i="2" s="1"/>
  <c r="L38" i="2"/>
  <c r="M38" i="2" s="1"/>
  <c r="L37" i="2"/>
  <c r="M37" i="2" s="1"/>
  <c r="L35" i="2"/>
  <c r="M35" i="2" s="1"/>
  <c r="L32" i="2"/>
  <c r="M32" i="2" s="1"/>
  <c r="L33" i="2"/>
  <c r="M33" i="2" s="1"/>
  <c r="L34" i="2"/>
  <c r="M34" i="2" s="1"/>
  <c r="L31" i="2"/>
  <c r="M31" i="2" s="1"/>
  <c r="L29" i="2"/>
  <c r="M29" i="2" s="1"/>
  <c r="L30" i="2"/>
  <c r="M30" i="2" s="1"/>
  <c r="L28" i="2"/>
  <c r="M28" i="2" s="1"/>
</calcChain>
</file>

<file path=xl/sharedStrings.xml><?xml version="1.0" encoding="utf-8"?>
<sst xmlns="http://schemas.openxmlformats.org/spreadsheetml/2006/main" count="2009" uniqueCount="371">
  <si>
    <t>Obmiar fundamentów</t>
  </si>
  <si>
    <t>SF-06</t>
  </si>
  <si>
    <t>SF-02</t>
  </si>
  <si>
    <t>PF-04</t>
  </si>
  <si>
    <t>Nazwa elementu</t>
  </si>
  <si>
    <t>SF-02.1</t>
  </si>
  <si>
    <t>SF-02.2</t>
  </si>
  <si>
    <t>SF-01.1</t>
  </si>
  <si>
    <t>PF-05</t>
  </si>
  <si>
    <t>PF-01</t>
  </si>
  <si>
    <t>PF-02</t>
  </si>
  <si>
    <t>SF-05</t>
  </si>
  <si>
    <t>SF-01</t>
  </si>
  <si>
    <t>SF-09</t>
  </si>
  <si>
    <t>SF-08</t>
  </si>
  <si>
    <t>SF-07</t>
  </si>
  <si>
    <t>SF-10</t>
  </si>
  <si>
    <t>SF-11</t>
  </si>
  <si>
    <t>Rodzaj elementu</t>
  </si>
  <si>
    <t>Łf-03</t>
  </si>
  <si>
    <t>Łf-05</t>
  </si>
  <si>
    <t>Łf-06</t>
  </si>
  <si>
    <t>Łf-01</t>
  </si>
  <si>
    <t>Łf-04</t>
  </si>
  <si>
    <t>A [m2]</t>
  </si>
  <si>
    <t>B [m]</t>
  </si>
  <si>
    <t>L [m]</t>
  </si>
  <si>
    <t>h [m]</t>
  </si>
  <si>
    <t>V [m3]</t>
  </si>
  <si>
    <t>SCH.FUN-03</t>
  </si>
  <si>
    <t>SCH.FUN-02</t>
  </si>
  <si>
    <t>Łf-02</t>
  </si>
  <si>
    <t>PF-06</t>
  </si>
  <si>
    <t>Łf-07</t>
  </si>
  <si>
    <t>Sc-f.02</t>
  </si>
  <si>
    <t>S.C.zb-P.02</t>
  </si>
  <si>
    <t>S.C.zb-P.01</t>
  </si>
  <si>
    <t>Sc-f.01</t>
  </si>
  <si>
    <t>hg</t>
  </si>
  <si>
    <t>S.P.01</t>
  </si>
  <si>
    <t>Słup 0</t>
  </si>
  <si>
    <t>S.P.02</t>
  </si>
  <si>
    <t>S.P.03</t>
  </si>
  <si>
    <t>S-P.11</t>
  </si>
  <si>
    <t>S-P.04</t>
  </si>
  <si>
    <t>S-P.05</t>
  </si>
  <si>
    <t>S-P.06</t>
  </si>
  <si>
    <t>S-P.12</t>
  </si>
  <si>
    <t>S-P.13 (romb)</t>
  </si>
  <si>
    <t>S-P.14</t>
  </si>
  <si>
    <t>S-P.31 (koło)</t>
  </si>
  <si>
    <t>S-P.32 (koło)</t>
  </si>
  <si>
    <t>S-P.41</t>
  </si>
  <si>
    <t>S-P.51 (trapez)</t>
  </si>
  <si>
    <t>Trzpień 0</t>
  </si>
  <si>
    <t>Tr-P.01</t>
  </si>
  <si>
    <t>Tr-P.02</t>
  </si>
  <si>
    <t>Tr-P.11</t>
  </si>
  <si>
    <t>Tr-P.12</t>
  </si>
  <si>
    <t>Tr-P.21</t>
  </si>
  <si>
    <t>Tr-P.22</t>
  </si>
  <si>
    <t>Tr-P.31</t>
  </si>
  <si>
    <t>Ściana 0</t>
  </si>
  <si>
    <t>S.C.zb-P.03</t>
  </si>
  <si>
    <t>S.C.zb-P.04</t>
  </si>
  <si>
    <t>S.C.zb-P.05</t>
  </si>
  <si>
    <t>S.C.zb-P.06</t>
  </si>
  <si>
    <t>Etykiety wierszy</t>
  </si>
  <si>
    <t>Suma końcowa</t>
  </si>
  <si>
    <t>Suma z V [m3]</t>
  </si>
  <si>
    <t>Liczba z V [m3]2</t>
  </si>
  <si>
    <t>Inna grubość</t>
  </si>
  <si>
    <t>Wg zestawienia</t>
  </si>
  <si>
    <t>Sc-f.SW</t>
  </si>
  <si>
    <t>(puste)</t>
  </si>
  <si>
    <t>Sc-f.03</t>
  </si>
  <si>
    <t>Sc-f.04</t>
  </si>
  <si>
    <t>Sc-f.05</t>
  </si>
  <si>
    <t>Sc-f.06</t>
  </si>
  <si>
    <t>żle opisana wysokość</t>
  </si>
  <si>
    <t>Obmiar ścian i słupów 0</t>
  </si>
  <si>
    <t>SCH.FUN-01</t>
  </si>
  <si>
    <t>Uwagi</t>
  </si>
  <si>
    <t>hd</t>
  </si>
  <si>
    <t>Zadolenie góry pod windę</t>
  </si>
  <si>
    <t>Połębienie posadowienia pod windą</t>
  </si>
  <si>
    <t>STUD-01</t>
  </si>
  <si>
    <t>STUD-02</t>
  </si>
  <si>
    <t>PF-03</t>
  </si>
  <si>
    <t>rzędne (-1,.40 do -1.00)</t>
  </si>
  <si>
    <t>rzędne  (-2.00 do -1.00)</t>
  </si>
  <si>
    <t>rzędne (-2.00 do -1.60)</t>
  </si>
  <si>
    <t>na przekroju zły kształt, przyjęto wymiary poprawne</t>
  </si>
  <si>
    <t>Ścianki fund.</t>
  </si>
  <si>
    <t>S-P.11 Na rzucie 8 szt. W zestawieniu 11 szt.</t>
  </si>
  <si>
    <t>Tr-P.12 na rzucie 5 szt. W zestaweniu 6 szt.</t>
  </si>
  <si>
    <t>BŻ.P-26</t>
  </si>
  <si>
    <t>BŻ.P-24</t>
  </si>
  <si>
    <t>BŻ.P-02</t>
  </si>
  <si>
    <t>BŻ.P-03</t>
  </si>
  <si>
    <t>BŻ.P-04</t>
  </si>
  <si>
    <t>zły wymiar w autocadzie</t>
  </si>
  <si>
    <t>BŻ.P-08</t>
  </si>
  <si>
    <t>BŻ.P-09</t>
  </si>
  <si>
    <t>BŻ.P-10</t>
  </si>
  <si>
    <t>BŻ.P-11</t>
  </si>
  <si>
    <t>BŻ.P-12</t>
  </si>
  <si>
    <t>BŻ.P-13</t>
  </si>
  <si>
    <t>BŻ.P-14</t>
  </si>
  <si>
    <t>BŻ.P-17</t>
  </si>
  <si>
    <t>BŻ.P-19</t>
  </si>
  <si>
    <t>BŻ.P-20</t>
  </si>
  <si>
    <t>BŻ.P-21</t>
  </si>
  <si>
    <t>BŻ.P-22</t>
  </si>
  <si>
    <t>BŻ.P-25</t>
  </si>
  <si>
    <t>BŻ.P-27</t>
  </si>
  <si>
    <t>BŻ.P-30</t>
  </si>
  <si>
    <t>BŻ.P-31</t>
  </si>
  <si>
    <t>BŻ.P-32</t>
  </si>
  <si>
    <t>BŻ.P-34</t>
  </si>
  <si>
    <t>BŻ.P-36</t>
  </si>
  <si>
    <t>BŻ.P-37</t>
  </si>
  <si>
    <t>BŻ.P-39</t>
  </si>
  <si>
    <t>BŻ.P-40</t>
  </si>
  <si>
    <t>BŻ.P-41</t>
  </si>
  <si>
    <t>BŻ.P-43</t>
  </si>
  <si>
    <t>BŻ.P-44</t>
  </si>
  <si>
    <t>BŻ.P-45</t>
  </si>
  <si>
    <t>BŻ.P-46</t>
  </si>
  <si>
    <t>BŻ.P-47</t>
  </si>
  <si>
    <t>Inny opis długości w DWG</t>
  </si>
  <si>
    <t>BO.P-07</t>
  </si>
  <si>
    <t>BO.P-08</t>
  </si>
  <si>
    <t>NP-P.01</t>
  </si>
  <si>
    <t>NP-P.02</t>
  </si>
  <si>
    <t>Wi-P-01</t>
  </si>
  <si>
    <t>Wi-P-02</t>
  </si>
  <si>
    <t>Wi-P-03</t>
  </si>
  <si>
    <t>DO.P-01</t>
  </si>
  <si>
    <t>Wieńce</t>
  </si>
  <si>
    <t>Belki stropu K0</t>
  </si>
  <si>
    <t>DO.P-04</t>
  </si>
  <si>
    <t>DO.P-02</t>
  </si>
  <si>
    <t>DO.P-05</t>
  </si>
  <si>
    <t>Nadproża drzwi</t>
  </si>
  <si>
    <t>Nadproża witryn</t>
  </si>
  <si>
    <t>Nadproża kl.sch.</t>
  </si>
  <si>
    <t>Wsporniki biegów</t>
  </si>
  <si>
    <t>Obmiar belek, wieńcy i nadproży</t>
  </si>
  <si>
    <t>Obmiar stropu nad 0</t>
  </si>
  <si>
    <t>wysokość wliczona w płytę stropową</t>
  </si>
  <si>
    <t>PŁ.ŻB.P-09.1</t>
  </si>
  <si>
    <t>PŁ.ŻB.P-09.2</t>
  </si>
  <si>
    <t>PŁ.ŻB.P-10</t>
  </si>
  <si>
    <t>PŁ.ŻB.P-05</t>
  </si>
  <si>
    <t>PŁ.ŻB.P-03.1</t>
  </si>
  <si>
    <t>PŁ.ŻB.P-03.2</t>
  </si>
  <si>
    <t>PŁ.ŻB.P-04</t>
  </si>
  <si>
    <t>PŁ.ŻB.N-05</t>
  </si>
  <si>
    <t>PŁ.ŻB.P-06</t>
  </si>
  <si>
    <t>PŁ.ŻB.P-07</t>
  </si>
  <si>
    <t>PŁ.ŻB.P-08</t>
  </si>
  <si>
    <t>PŁ.ŻB.P gr. 20cm</t>
  </si>
  <si>
    <t>PŁ.ŻB.P gr. 25cm</t>
  </si>
  <si>
    <t>PŁ.ŻB.P gr. 35cm</t>
  </si>
  <si>
    <t>PŁ.ŻB.P gr. 50cm</t>
  </si>
  <si>
    <t>Płyta stropowa</t>
  </si>
  <si>
    <t>Balkony niższe</t>
  </si>
  <si>
    <t>Balkony wyższe</t>
  </si>
  <si>
    <t>Kondygnacja 0</t>
  </si>
  <si>
    <t>Ławy fund.</t>
  </si>
  <si>
    <t>Płyty fund.</t>
  </si>
  <si>
    <t>Stopy fund.</t>
  </si>
  <si>
    <t>Ławy fund. (schodkowe)</t>
  </si>
  <si>
    <t>Ściany 0</t>
  </si>
  <si>
    <t>Słupy 0</t>
  </si>
  <si>
    <t>Trzpienie 0</t>
  </si>
  <si>
    <t>Studnie</t>
  </si>
  <si>
    <t>Uwagi w trakcie obmiarów</t>
  </si>
  <si>
    <t>BŻ.N-09</t>
  </si>
  <si>
    <t>Belki nadziemia</t>
  </si>
  <si>
    <t>Wieńce nadziemia</t>
  </si>
  <si>
    <t>WSP.N-01</t>
  </si>
  <si>
    <t>Wi-N.01</t>
  </si>
  <si>
    <t>Wi-N.02</t>
  </si>
  <si>
    <t>At-zb.01</t>
  </si>
  <si>
    <t>Attyki</t>
  </si>
  <si>
    <t>Wsporniki nadziemia</t>
  </si>
  <si>
    <t>Nadproża drzwi (nadziemie)</t>
  </si>
  <si>
    <t>DO.N-02</t>
  </si>
  <si>
    <t>DO.N-03</t>
  </si>
  <si>
    <t>DO.N-10</t>
  </si>
  <si>
    <t>DO.N-04</t>
  </si>
  <si>
    <t>DO.N-05</t>
  </si>
  <si>
    <t>DO.N-06</t>
  </si>
  <si>
    <t>DO.N-07</t>
  </si>
  <si>
    <t>DO.N-08</t>
  </si>
  <si>
    <t>DO.N-09</t>
  </si>
  <si>
    <t>Sc.N-01.1</t>
  </si>
  <si>
    <t>Ta.N-01.1</t>
  </si>
  <si>
    <t>Sc.N-01</t>
  </si>
  <si>
    <t>Ściany nadziemia</t>
  </si>
  <si>
    <t>Obmiar ścian i słupów nadziemia</t>
  </si>
  <si>
    <t>Trzpienie nadziemia</t>
  </si>
  <si>
    <t>Tr-N-01</t>
  </si>
  <si>
    <t>Tr-N-01.1</t>
  </si>
  <si>
    <t>Tr-N-02</t>
  </si>
  <si>
    <t>Tr-N-02.1</t>
  </si>
  <si>
    <t>Tr-N-03</t>
  </si>
  <si>
    <t>Tr-N-03.1</t>
  </si>
  <si>
    <t>Tr-N-04</t>
  </si>
  <si>
    <t>Tr-N-04.1</t>
  </si>
  <si>
    <t>Tr-N-05</t>
  </si>
  <si>
    <t>Tr-N-05.1</t>
  </si>
  <si>
    <t>Tr-N-06.1</t>
  </si>
  <si>
    <t>Tr-N-SCH2.1</t>
  </si>
  <si>
    <t>Tr-N-07.1</t>
  </si>
  <si>
    <t>Tr-N-08.1</t>
  </si>
  <si>
    <t>Tr-N-SCH1.1</t>
  </si>
  <si>
    <t>Tr-N-SCH1</t>
  </si>
  <si>
    <t>Tr-N-SCH2</t>
  </si>
  <si>
    <t>Szt.</t>
  </si>
  <si>
    <t>Kondygnacja</t>
  </si>
  <si>
    <t>Obmiar obejmuje wszystkie kondygnacje nadziemne</t>
  </si>
  <si>
    <t>Wysokość belek, wieńcy i nadproży liczona do spodu stropu.</t>
  </si>
  <si>
    <t>Kondygnacja +1</t>
  </si>
  <si>
    <t>Kondygnacja +2</t>
  </si>
  <si>
    <t>BŻ.N-01</t>
  </si>
  <si>
    <t>BŻ.N-02</t>
  </si>
  <si>
    <t>Wysokość trzpeni liczony do spodu stropu.</t>
  </si>
  <si>
    <t>Wysokość liczona do spodu wspornika pod stropem</t>
  </si>
  <si>
    <t>BŻ.N-06</t>
  </si>
  <si>
    <t>Inna długość na rzucie niż na rys. zbrojarskim</t>
  </si>
  <si>
    <t>BŻ.N-04</t>
  </si>
  <si>
    <t>BŻ.N-05</t>
  </si>
  <si>
    <t>BŻ.N-03</t>
  </si>
  <si>
    <t>DO.N-01</t>
  </si>
  <si>
    <t>BŻ.N-SCH</t>
  </si>
  <si>
    <t>Wsp-N.SCH</t>
  </si>
  <si>
    <t>Szerokość zmniejszona o grubość ściany w której jest osadzony</t>
  </si>
  <si>
    <t>na rysunku zbrojarskim podano 1 szt. Powinno być 4 szt.</t>
  </si>
  <si>
    <t>brak rysunków zbrojarskich</t>
  </si>
  <si>
    <t>Np-N.01</t>
  </si>
  <si>
    <t>Kondygnacja +3</t>
  </si>
  <si>
    <t>Brak rysunku zbrojarskiego. Nad nadprożem wieniec Wi-N.02</t>
  </si>
  <si>
    <t>Kondygnacja +4</t>
  </si>
  <si>
    <t>NP-N.SCH1</t>
  </si>
  <si>
    <t>NP-N.SCH2</t>
  </si>
  <si>
    <t>Nieprawidłowa ilość na rysunku zbrojeniowym</t>
  </si>
  <si>
    <t>Nad otworami 2L19 (102)</t>
  </si>
  <si>
    <t>Nad otworami 2L19 (90)</t>
  </si>
  <si>
    <t>Nad otworami 2L19 (111)</t>
  </si>
  <si>
    <t>Nad otworami 2L19 (100)</t>
  </si>
  <si>
    <t>Nad otworami Np-N.01 (102)</t>
  </si>
  <si>
    <t>Nad otworami zewnętrznymi</t>
  </si>
  <si>
    <t>Suma z Szt.</t>
  </si>
  <si>
    <t>Nadproża witryn klatki schodowej</t>
  </si>
  <si>
    <t>37 a nie 36</t>
  </si>
  <si>
    <t>Tr-N-SCH1.2</t>
  </si>
  <si>
    <t>Brak rysunku zbrojeniowego</t>
  </si>
  <si>
    <t>Tr-N-SCH2.2</t>
  </si>
  <si>
    <t>12 nie 7</t>
  </si>
  <si>
    <t>18 nie 12</t>
  </si>
  <si>
    <t>0 nie 6</t>
  </si>
  <si>
    <t>0 nie 2</t>
  </si>
  <si>
    <t>Nieodpowiedni opis słupa na rzucie przy wymiarach 18x58; Wysokość liczona do spodu wspornika pod stropem;</t>
  </si>
  <si>
    <t>Ilość trzpieni zliczonych na rzutach = 167</t>
  </si>
  <si>
    <t>Ilość trzpieni zliczonych z rysunków zbrojeniowych = 171</t>
  </si>
  <si>
    <t>brak rysunku zbrojeniowego</t>
  </si>
  <si>
    <t>różnica</t>
  </si>
  <si>
    <t>PŁ.ŻB.N-01 gr. 18cm</t>
  </si>
  <si>
    <t>PŁ.ŻB.N-02 gr. 18cm</t>
  </si>
  <si>
    <t>otwór windy</t>
  </si>
  <si>
    <t>otwór klatki</t>
  </si>
  <si>
    <t>PŁ.ŻB.N-06</t>
  </si>
  <si>
    <t>PŁ.ŻB.N-07</t>
  </si>
  <si>
    <t>PŁ.ŻB.N-08</t>
  </si>
  <si>
    <t>Balkony</t>
  </si>
  <si>
    <t>PŁ.ŻB.N-09</t>
  </si>
  <si>
    <t>Uwagi:</t>
  </si>
  <si>
    <t>Rzędne balkonów 4 kondygnacji są błędne.</t>
  </si>
  <si>
    <t>Strop wliczany jest do kondygnacji nad którą się znajduje (np. Kondygnacja 1 oznacza strop nad 1 kondygnacją)</t>
  </si>
  <si>
    <t>PŁ.ŻB.N-03 gr. 18cm</t>
  </si>
  <si>
    <t>PŁ.ŻB.N-04 gr. 18cm</t>
  </si>
  <si>
    <t>Obmiar stropów nadziemia i dachu</t>
  </si>
  <si>
    <t>Dach</t>
  </si>
  <si>
    <t>PŁ.ŻB.WIN gr. 20cm</t>
  </si>
  <si>
    <t>Wg. Zbrojeniowego 172mb</t>
  </si>
  <si>
    <t>Obmiar belek, wieńcy i nadproży - nadziemie i dach</t>
  </si>
  <si>
    <t>wg rzutów</t>
  </si>
  <si>
    <t>wg rysunków zbrojeniowych</t>
  </si>
  <si>
    <t>Podsumowanie różnic między rysunkami:</t>
  </si>
  <si>
    <t>Obmiar elementów żelbetowych szybów windowych</t>
  </si>
  <si>
    <t>Ściana podszybia</t>
  </si>
  <si>
    <t>Kondygnacja +0</t>
  </si>
  <si>
    <t>Wieniec szybu</t>
  </si>
  <si>
    <t>Wieniec B-B</t>
  </si>
  <si>
    <t>Wieniec A-A</t>
  </si>
  <si>
    <t>Nadproża szybu</t>
  </si>
  <si>
    <t>NP.S-01</t>
  </si>
  <si>
    <t>NP.S-02</t>
  </si>
  <si>
    <t>Na rysunku zbrojarskim przedstawiono jeden szyb. Zestawienie obejmuje trzy</t>
  </si>
  <si>
    <t>Obmiar elementów żelbetowych biegów schodowych</t>
  </si>
  <si>
    <t>Bieg schodowy prefabrykowany</t>
  </si>
  <si>
    <t>B.SCH-01</t>
  </si>
  <si>
    <t>B.SCH-02</t>
  </si>
  <si>
    <t>B.SCH-03</t>
  </si>
  <si>
    <t>B.SCH-04</t>
  </si>
  <si>
    <t>B.SCH-05</t>
  </si>
  <si>
    <t>Vj [m3]</t>
  </si>
  <si>
    <t>Na rzucie występuje 8 szt. W zestawieniu podano 11 szt.</t>
  </si>
  <si>
    <t>Na rzucie występują 2 szt. W zestawieniu podano 4 szt.</t>
  </si>
  <si>
    <t>S-P.01</t>
  </si>
  <si>
    <t>S-P.02</t>
  </si>
  <si>
    <t>S-P.03</t>
  </si>
  <si>
    <t>Wysokość słupów liczona do spodu belki</t>
  </si>
  <si>
    <t>BŻ.P-42</t>
  </si>
  <si>
    <t>NP-P.SCH1</t>
  </si>
  <si>
    <t>NP-P.SCH2</t>
  </si>
  <si>
    <t>WSP.P-01</t>
  </si>
  <si>
    <t>WSP.P-SCH</t>
  </si>
  <si>
    <t>BŻ.P-06</t>
  </si>
  <si>
    <t>Suma z Vj [m3]</t>
  </si>
  <si>
    <t>BŻ.P-01 a</t>
  </si>
  <si>
    <t>BŻ.P-01 b</t>
  </si>
  <si>
    <t>BŻ.P-05 a</t>
  </si>
  <si>
    <t>BŻ.P-05 b</t>
  </si>
  <si>
    <t>BŻ.P-05 c</t>
  </si>
  <si>
    <t>BŻ.P-07 a</t>
  </si>
  <si>
    <t>BŻ.P-07 b</t>
  </si>
  <si>
    <t>BŻ.P-15 a</t>
  </si>
  <si>
    <t>BŻ.P-15 b</t>
  </si>
  <si>
    <t>BŻ.P-15 c</t>
  </si>
  <si>
    <t>BŻ.P-15 d</t>
  </si>
  <si>
    <t>BŻ.P-16 a</t>
  </si>
  <si>
    <t>BŻ.P-16 b</t>
  </si>
  <si>
    <t>BŻ.P-16 c</t>
  </si>
  <si>
    <t>BŻ.P-16 d</t>
  </si>
  <si>
    <t>BŻ.P-18 a</t>
  </si>
  <si>
    <t>BŻ.P-18 b</t>
  </si>
  <si>
    <t>BŻ.P-18 c</t>
  </si>
  <si>
    <t>BŻ.P-18 d</t>
  </si>
  <si>
    <t>BŻ.P-18 e</t>
  </si>
  <si>
    <t>BŻ.P-04.1 a</t>
  </si>
  <si>
    <t>BŻ.P-04.1 b</t>
  </si>
  <si>
    <t>BŻ.P-04.1 c</t>
  </si>
  <si>
    <t>BŻ.P-38 a</t>
  </si>
  <si>
    <t>BŻ.P-38 b</t>
  </si>
  <si>
    <t>BŻ.P-35 a</t>
  </si>
  <si>
    <t>BŻ.P-35 b</t>
  </si>
  <si>
    <t>BŻ.P-35 c</t>
  </si>
  <si>
    <t>BŻ.P-33 a</t>
  </si>
  <si>
    <t>BŻ.P-33 b</t>
  </si>
  <si>
    <t>BŻ.P-33 c</t>
  </si>
  <si>
    <t>BŻ.P-33 d</t>
  </si>
  <si>
    <t>BŻ.P-33 e</t>
  </si>
  <si>
    <t>BŻ.P-29 a</t>
  </si>
  <si>
    <t>BŻ.P-29 b</t>
  </si>
  <si>
    <t>BŻ.P-29 c</t>
  </si>
  <si>
    <t>BŻ.P-28 a</t>
  </si>
  <si>
    <t>BŻ.P-28 b</t>
  </si>
  <si>
    <t>BŻ.P-28 c</t>
  </si>
  <si>
    <t>BŻ.P-23 a</t>
  </si>
  <si>
    <t>BŻ.P-23 b</t>
  </si>
  <si>
    <t>Kondygnacja Dachu</t>
  </si>
  <si>
    <t>Kondygnacja 1</t>
  </si>
  <si>
    <t>Kondygnacja 2</t>
  </si>
  <si>
    <t>Kondygnacja 3</t>
  </si>
  <si>
    <t>Kondygnacja 4</t>
  </si>
  <si>
    <t>Wysokość ścian liczona do wierzchu stropu</t>
  </si>
  <si>
    <t>Wysokość trzpieni liczona do spodu wieńca lub belki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</si>
</sst>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2" fontId="0" fillId="0" borderId="0" xfId="0" applyNumberFormat="1"/>
    <xf numFmtId="0" fontId="3" fillId="0" borderId="1" xfId="0" applyFont="1" applyBorder="1" applyAlignment="1">
      <alignment horizontal="left"/>
    </xf>
    <xf numFmtId="165" fontId="0" fillId="0" borderId="0" xfId="0" applyNumberFormat="1"/>
  </cellXfs>
  <cellStyles count="1">
    <cellStyle name="Normalny" xfId="0" builtinId="0"/>
  </cellStyles>
  <dxfs count="87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Olechnowicz" refreshedDate="46013.875129398148" createdVersion="8" refreshedVersion="8" minRefreshableVersion="3" recordCount="102" xr:uid="{1A76ABD7-9F23-42D8-A4CE-A304328E0F78}">
  <cacheSource type="worksheet">
    <worksheetSource name="Tabela_Piony_0"/>
  </cacheSource>
  <cacheFields count="11">
    <cacheField name="Rodzaj elementu" numFmtId="0">
      <sharedItems containsBlank="1" count="5">
        <s v="Ściana 0"/>
        <s v="Ścianki fund."/>
        <s v="Słup 0"/>
        <s v="Trzpień 0"/>
        <m u="1"/>
      </sharedItems>
    </cacheField>
    <cacheField name="Nazwa elementu" numFmtId="0">
      <sharedItems containsBlank="1" count="37">
        <s v="S.C.zb-P.01"/>
        <s v="S.C.zb-P.02"/>
        <s v="S.C.zb-P.03"/>
        <s v="S.C.zb-P.04"/>
        <s v="S.C.zb-P.05"/>
        <s v="S.C.zb-P.06"/>
        <s v="Sc-f.01"/>
        <s v="Sc-f.02"/>
        <s v="Sc-f.03"/>
        <s v="Sc-f.04"/>
        <s v="Sc-f.05"/>
        <s v="Sc-f.06"/>
        <s v="Sc-f.SW"/>
        <s v="S.P.01"/>
        <s v="S.P.02"/>
        <s v="S.P.03"/>
        <s v="S-P.11"/>
        <m/>
        <s v="S-P.04"/>
        <s v="S-P.05"/>
        <s v="S-P.06"/>
        <s v="S-P.12"/>
        <s v="S-P.13 (romb)"/>
        <s v="S-P.14"/>
        <s v="S-P.31 (koło)"/>
        <s v="S-P.32 (koło)"/>
        <s v="S-P.41"/>
        <s v="S-P.51 (trapez)"/>
        <s v="Tr-P.01"/>
        <s v="Tr-P.02"/>
        <s v="Tr-P.11"/>
        <s v="Tr-P.12"/>
        <s v="Tr-P.21"/>
        <s v="Tr-P.22"/>
        <s v="Tr-P.31"/>
        <s v="S-P.11 (brak)" u="1"/>
        <s v="S-P.12 (brak)" u="1"/>
      </sharedItems>
    </cacheField>
    <cacheField name="L [m]" numFmtId="0">
      <sharedItems containsSemiMixedTypes="0" containsString="0" containsNumber="1" minValue="0.35" maxValue="92.34"/>
    </cacheField>
    <cacheField name="B [m]" numFmtId="0">
      <sharedItems containsString="0" containsBlank="1" containsNumber="1" minValue="0.18" maxValue="0.35"/>
    </cacheField>
    <cacheField name="A [m2]" numFmtId="164">
      <sharedItems containsSemiMixedTypes="0" containsString="0" containsNumber="1" minValue="6.3E-2" maxValue="16.621200000000002"/>
    </cacheField>
    <cacheField name="hd" numFmtId="164">
      <sharedItems containsSemiMixedTypes="0" containsString="0" containsNumber="1" minValue="-2" maxValue="-1"/>
    </cacheField>
    <cacheField name="hg" numFmtId="164">
      <sharedItems containsSemiMixedTypes="0" containsString="0" containsNumber="1" minValue="-0.24" maxValue="3.57"/>
    </cacheField>
    <cacheField name="h [m]" numFmtId="164">
      <sharedItems containsSemiMixedTypes="0" containsString="0" containsNumber="1" minValue="0.76" maxValue="5.0199999999999996"/>
    </cacheField>
    <cacheField name="V [m3]" numFmtId="164">
      <sharedItems containsString="0" containsBlank="1" containsNumber="1" minValue="0.20979" maxValue="68.479344000000012"/>
    </cacheField>
    <cacheField name="Uwagi " numFmtId="164">
      <sharedItems containsBlank="1"/>
    </cacheField>
    <cacheField name="Wg zestawienia" numFmtId="164">
      <sharedItems containsString="0" containsBlank="1" containsNumber="1" minValue="3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Olechnowicz" refreshedDate="46030.825776620368" createdVersion="8" refreshedVersion="8" minRefreshableVersion="3" recordCount="44" xr:uid="{0DF037B6-4136-4D8D-8A12-639D3334C6C1}">
  <cacheSource type="worksheet">
    <worksheetSource name="Tabela_Fundamenty"/>
  </cacheSource>
  <cacheFields count="14">
    <cacheField name="Rodzaj elementu" numFmtId="0">
      <sharedItems count="11">
        <s v="Ławy fund."/>
        <s v="Płyty fund."/>
        <s v="Ławy fund. (schodkowe)"/>
        <s v="Stopy fund."/>
        <s v="Studnie"/>
        <s v="Studnia" u="1"/>
        <s v="Ława fund." u="1"/>
        <s v="Płyta fund." u="1"/>
        <s v="Schody fundamentowe" u="1"/>
        <s v="Schody fund." u="1"/>
        <s v="Stopa fund." u="1"/>
      </sharedItems>
    </cacheField>
    <cacheField name="Kondygnacja" numFmtId="0">
      <sharedItems/>
    </cacheField>
    <cacheField name="Szt." numFmtId="0">
      <sharedItems containsString="0" containsBlank="1" containsNumber="1" containsInteger="1" minValue="1" maxValue="7"/>
    </cacheField>
    <cacheField name="Nazwa elementu" numFmtId="0">
      <sharedItems count="48">
        <s v="Łf-01"/>
        <s v="Łf-02"/>
        <s v="Łf-03"/>
        <s v="Łf-04"/>
        <s v="Łf-05"/>
        <s v="Łf-06"/>
        <s v="Łf-07"/>
        <s v="PF-01"/>
        <s v="PF-02"/>
        <s v="PF-03"/>
        <s v="PF-04"/>
        <s v="PF-05"/>
        <s v="PF-06"/>
        <s v="SCH.FUN-01"/>
        <s v="SCH.FUN-02"/>
        <s v="SCH.FUN-03"/>
        <s v="SF-01"/>
        <s v="SF-01.1"/>
        <s v="SF-02"/>
        <s v="SF-02.1"/>
        <s v="SF-02.2"/>
        <s v="SF-05"/>
        <s v="SF-06"/>
        <s v="SF-07"/>
        <s v="SF-08"/>
        <s v="SF-09"/>
        <s v="SF-10"/>
        <s v="SF-11"/>
        <s v="STUD-01"/>
        <s v="STUD-02"/>
        <s v="PF-01 (PGŁ)" u="1"/>
        <s v="PF-01 (ZDL)" u="1"/>
        <s v="PF-02 (PGŁ)" u="1"/>
        <s v="PF-02 (ZDL)" u="1"/>
        <s v="PF-03 (-1,.40 do -1.00)" u="1"/>
        <s v="PF-03 (-2.00 do -1.00)" u="1"/>
        <s v="PF-03 (-2.00 do -1.60)" u="1"/>
        <s v="PF-03 (PGŁ)" u="1"/>
        <s v="PF-03 (ZDL)" u="1"/>
        <s v="PF-01 (pogł)" u="1"/>
        <s v="PF-01 (wypł)" u="1"/>
        <s v="PF-02 (pogł)" u="1"/>
        <s v="PF-02 (wypł)" u="1"/>
        <s v="PF-03 (pogł)" u="1"/>
        <s v="PF-03 (wypłycenie)" u="1"/>
        <s v="SCH.FUN-02 (a)" u="1"/>
        <s v="Łf-01+Łf-02" u="1"/>
        <s v="SCH.FUN-021" u="1"/>
      </sharedItems>
    </cacheField>
    <cacheField name="L [m]" numFmtId="0">
      <sharedItems containsString="0" containsBlank="1" containsNumber="1" minValue="1.1000000000000001" maxValue="76.489999999999995"/>
    </cacheField>
    <cacheField name="B [m]" numFmtId="0">
      <sharedItems containsString="0" containsBlank="1" containsNumber="1" minValue="0.15" maxValue="11.5"/>
    </cacheField>
    <cacheField name="A [m2]" numFmtId="164">
      <sharedItems containsSemiMixedTypes="0" containsString="0" containsNumber="1" minValue="0.48" maxValue="61.546500000000002"/>
    </cacheField>
    <cacheField name="hd" numFmtId="164">
      <sharedItems containsString="0" containsBlank="1" containsNumber="1" minValue="-2.5" maxValue="-1.4"/>
    </cacheField>
    <cacheField name="hg" numFmtId="164">
      <sharedItems containsString="0" containsBlank="1" containsNumber="1" minValue="-2" maxValue="-1"/>
    </cacheField>
    <cacheField name="h [m]" numFmtId="0">
      <sharedItems containsSemiMixedTypes="0" containsString="0" containsNumber="1" minValue="-0.1" maxValue="2"/>
    </cacheField>
    <cacheField name="Vj [m3]" numFmtId="164">
      <sharedItems containsSemiMixedTypes="0" containsString="0" containsNumber="1" minValue="-0.41666000000000003" maxValue="24.618600000000001"/>
    </cacheField>
    <cacheField name="V [m3]" numFmtId="164">
      <sharedItems containsSemiMixedTypes="0" containsString="0" containsNumber="1" minValue="-0.41666000000000003" maxValue="24.618600000000001"/>
    </cacheField>
    <cacheField name="Uwagi" numFmtId="0">
      <sharedItems containsBlank="1"/>
    </cacheField>
    <cacheField name="Wg zestawienia" numFmtId="0">
      <sharedItems containsString="0" containsBlank="1" containsNumber="1" minValue="4.2559999999999993" maxValue="22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Olechnowicz" refreshedDate="46030.837246527779" createdVersion="8" refreshedVersion="8" minRefreshableVersion="3" recordCount="100" xr:uid="{2BC57D52-3D95-46D9-8C5E-60D80E260C7B}">
  <cacheSource type="worksheet">
    <worksheetSource name="Tabela_Belki_0"/>
  </cacheSource>
  <cacheFields count="14">
    <cacheField name="Rodzaj elementu" numFmtId="0">
      <sharedItems containsBlank="1" count="12">
        <s v="Belki stropu K0"/>
        <s v="Nadproża witryn"/>
        <s v="Nadproża kl.sch."/>
        <s v="Wsporniki biegów"/>
        <s v="Wieńce"/>
        <s v="Nadproża drzwi"/>
        <s v="Wsporniki" u="1"/>
        <s v="Belka nad 0" u="1"/>
        <s v="Nadproża schody" u="1"/>
        <m u="1"/>
        <s v="Nadproża" u="1"/>
        <s v="Belki nad 0" u="1"/>
      </sharedItems>
    </cacheField>
    <cacheField name="Kondygnacja" numFmtId="0">
      <sharedItems/>
    </cacheField>
    <cacheField name="Szt." numFmtId="0">
      <sharedItems containsString="0" containsBlank="1" containsNumber="1" containsInteger="1" minValue="1" maxValue="4"/>
    </cacheField>
    <cacheField name="Nazwa elementu" numFmtId="0">
      <sharedItems count="104">
        <s v="BŻ.P-01 a"/>
        <s v="BŻ.P-01 b"/>
        <s v="BŻ.P-02"/>
        <s v="BŻ.P-03"/>
        <s v="BŻ.P-04"/>
        <s v="BŻ.P-05 a"/>
        <s v="BŻ.P-05 b"/>
        <s v="BŻ.P-05 c"/>
        <s v="BŻ.P-06"/>
        <s v="BŻ.P-07 a"/>
        <s v="BŻ.P-07 b"/>
        <s v="BŻ.P-08"/>
        <s v="BŻ.P-09"/>
        <s v="BŻ.P-10"/>
        <s v="BŻ.P-11"/>
        <s v="BŻ.P-12"/>
        <s v="BŻ.P-13"/>
        <s v="BŻ.P-14"/>
        <s v="BŻ.P-15 a"/>
        <s v="BŻ.P-15 b"/>
        <s v="BŻ.P-15 c"/>
        <s v="BŻ.P-15 d"/>
        <s v="BŻ.P-16 a"/>
        <s v="BŻ.P-16 b"/>
        <s v="BŻ.P-16 c"/>
        <s v="BŻ.P-16 d"/>
        <s v="BŻ.P-17"/>
        <s v="BŻ.P-18 a"/>
        <s v="BŻ.P-18 b"/>
        <s v="BŻ.P-18 c"/>
        <s v="BŻ.P-18 d"/>
        <s v="BŻ.P-18 e"/>
        <s v="BŻ.P-19"/>
        <s v="BŻ.P-20"/>
        <s v="BŻ.P-21"/>
        <s v="BŻ.P-22"/>
        <s v="BŻ.P-23 a"/>
        <s v="BŻ.P-23 b"/>
        <s v="BŻ.P-24"/>
        <s v="BŻ.P-25"/>
        <s v="BŻ.P-26"/>
        <s v="BŻ.P-27"/>
        <s v="BŻ.P-28 a"/>
        <s v="BŻ.P-28 b"/>
        <s v="BŻ.P-28 c"/>
        <s v="BŻ.P-29 a"/>
        <s v="BŻ.P-29 b"/>
        <s v="BŻ.P-29 c"/>
        <s v="BŻ.P-30"/>
        <s v="BŻ.P-31"/>
        <s v="BŻ.P-32"/>
        <s v="BŻ.P-33 a"/>
        <s v="BŻ.P-33 b"/>
        <s v="BŻ.P-33 c"/>
        <s v="BŻ.P-33 d"/>
        <s v="BŻ.P-33 e"/>
        <s v="BŻ.P-34"/>
        <s v="BŻ.P-35 a"/>
        <s v="BŻ.P-35 b"/>
        <s v="BŻ.P-35 c"/>
        <s v="BŻ.P-36"/>
        <s v="BŻ.P-37"/>
        <s v="BŻ.P-38 a"/>
        <s v="BŻ.P-38 b"/>
        <s v="BŻ.P-39"/>
        <s v="BŻ.P-40"/>
        <s v="BŻ.P-41"/>
        <s v="BŻ.P-42"/>
        <s v="BŻ.P-43"/>
        <s v="BŻ.P-44"/>
        <s v="BŻ.P-45"/>
        <s v="BŻ.P-46"/>
        <s v="BŻ.P-47"/>
        <s v="BŻ.P-04.1 a"/>
        <s v="BŻ.P-04.1 b"/>
        <s v="BŻ.P-04.1 c"/>
        <s v="BO.P-07"/>
        <s v="BO.P-08"/>
        <s v="NP-P.01"/>
        <s v="NP-P.02"/>
        <s v="NP-P.SCH1"/>
        <s v="NP-P.SCH2"/>
        <s v="WSP.P-01"/>
        <s v="WSP.P-SCH"/>
        <s v="Wi-P-01"/>
        <s v="Wi-P-02"/>
        <s v="Wi-P-03"/>
        <s v="DO.P-01"/>
        <s v="DO.P-04"/>
        <s v="DO.P-02"/>
        <s v="DO.P-05"/>
        <s v="BŻ.P-01" u="1"/>
        <s v="BŻ.P-05" u="1"/>
        <s v="BŻ.P-07" u="1"/>
        <s v="BŻ.P-15" u="1"/>
        <s v="BŻ.P-16" u="1"/>
        <s v="BŻ.P-18" u="1"/>
        <s v="BŻ.P-23" u="1"/>
        <s v="BŻ.P-28" u="1"/>
        <s v="BŻ.P-29" u="1"/>
        <s v="BŻ.P-33" u="1"/>
        <s v="BŻ.P-35" u="1"/>
        <s v="BŻ.P-38" u="1"/>
        <s v="BŻ.P-04.1" u="1"/>
      </sharedItems>
    </cacheField>
    <cacheField name="L [m]" numFmtId="0">
      <sharedItems containsSemiMixedTypes="0" containsString="0" containsNumber="1" minValue="0.35" maxValue="70.599999999999994"/>
    </cacheField>
    <cacheField name="B [m]" numFmtId="0">
      <sharedItems containsSemiMixedTypes="0" containsString="0" containsNumber="1" minValue="0.18" maxValue="0.6"/>
    </cacheField>
    <cacheField name="h [m]" numFmtId="164">
      <sharedItems containsSemiMixedTypes="0" containsString="0" containsNumber="1" minValue="0" maxValue="1.27"/>
    </cacheField>
    <cacheField name="Uwagi " numFmtId="164">
      <sharedItems containsBlank="1"/>
    </cacheField>
    <cacheField name="A [m2]" numFmtId="164">
      <sharedItems containsSemiMixedTypes="0" containsString="0" containsNumber="1" minValue="0.12249999999999998" maxValue="12.707999999999998"/>
    </cacheField>
    <cacheField name="hd" numFmtId="164">
      <sharedItems containsString="0" containsBlank="1" containsNumber="1" minValue="2.0499999999999998" maxValue="3.02"/>
    </cacheField>
    <cacheField name="hg" numFmtId="164">
      <sharedItems containsString="0" containsBlank="1" containsNumber="1" minValue="0.65" maxValue="3.37"/>
    </cacheField>
    <cacheField name="Vj [m3]" numFmtId="164">
      <sharedItems containsSemiMixedTypes="0" containsString="0" containsNumber="1" minValue="0" maxValue="6.0792000000000002"/>
    </cacheField>
    <cacheField name="V [m3]" numFmtId="164">
      <sharedItems containsSemiMixedTypes="0" containsString="0" containsNumber="1" minValue="0" maxValue="6.5967999999999991"/>
    </cacheField>
    <cacheField name="Wg zestawienia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Olechnowicz" refreshedDate="46030.843821875002" createdVersion="8" refreshedVersion="8" minRefreshableVersion="3" recordCount="15" xr:uid="{62682E2A-7DF6-44B3-AC1D-037FA4E694FC}">
  <cacheSource type="worksheet">
    <worksheetSource name="Tabela_Strop_0"/>
  </cacheSource>
  <cacheFields count="14">
    <cacheField name="Rodzaj elementu" numFmtId="0">
      <sharedItems count="3">
        <s v="Płyta stropowa"/>
        <s v="Balkony niższe"/>
        <s v="Balkony wyższe"/>
      </sharedItems>
    </cacheField>
    <cacheField name="Kondygnacja" numFmtId="0">
      <sharedItems/>
    </cacheField>
    <cacheField name="Szt." numFmtId="0">
      <sharedItems containsString="0" containsBlank="1" containsNumber="1" containsInteger="1" minValue="1" maxValue="9"/>
    </cacheField>
    <cacheField name="Nazwa elementu" numFmtId="0">
      <sharedItems/>
    </cacheField>
    <cacheField name="L [m]" numFmtId="0">
      <sharedItems containsString="0" containsBlank="1" containsNumber="1" minValue="1.72" maxValue="13.44"/>
    </cacheField>
    <cacheField name="B [m]" numFmtId="0">
      <sharedItems containsString="0" containsBlank="1" containsNumber="1" minValue="1.18" maxValue="1.7050000000000001"/>
    </cacheField>
    <cacheField name="h [m]" numFmtId="164">
      <sharedItems containsSemiMixedTypes="0" containsString="0" containsNumber="1" minValue="0.14999999999999991" maxValue="0.5"/>
    </cacheField>
    <cacheField name="Uwagi " numFmtId="164">
      <sharedItems containsNonDate="0" containsString="0" containsBlank="1"/>
    </cacheField>
    <cacheField name="A [m2]" numFmtId="164">
      <sharedItems containsSemiMixedTypes="0" containsString="0" containsNumber="1" minValue="2.3048000000000002" maxValue="621.04999999999995"/>
    </cacheField>
    <cacheField name="hd" numFmtId="164">
      <sharedItems containsSemiMixedTypes="0" containsString="0" containsNumber="1" minValue="2.7" maxValue="3.19"/>
    </cacheField>
    <cacheField name="hg" numFmtId="164">
      <sharedItems containsSemiMixedTypes="0" containsString="0" containsNumber="1" minValue="2.85" maxValue="3.37"/>
    </cacheField>
    <cacheField name="Vj [m3]" numFmtId="164">
      <sharedItems containsSemiMixedTypes="0" containsString="0" containsNumber="1" minValue="0.39181599999999989" maxValue="155.26249999999999"/>
    </cacheField>
    <cacheField name="V [m3]" numFmtId="164">
      <sharedItems containsSemiMixedTypes="0" containsString="0" containsNumber="1" minValue="0.89977499999999955" maxValue="155.26249999999999"/>
    </cacheField>
    <cacheField name="Wg zestawienia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Olechnowicz" refreshedDate="46030.845925000001" createdVersion="8" refreshedVersion="8" minRefreshableVersion="3" recordCount="49" xr:uid="{6F7704CA-E8C4-48B8-B8EB-1CD41CA3EB2C}">
  <cacheSource type="worksheet">
    <worksheetSource name="Tabela_Piony_N"/>
  </cacheSource>
  <cacheFields count="14">
    <cacheField name="Rodzaj elementu" numFmtId="0">
      <sharedItems count="2">
        <s v="Ściany nadziemia"/>
        <s v="Trzpienie nadziemia"/>
      </sharedItems>
    </cacheField>
    <cacheField name="Kondygnacja" numFmtId="0">
      <sharedItems/>
    </cacheField>
    <cacheField name="Nazwa elementu" numFmtId="0">
      <sharedItems count="22">
        <s v="Sc.N-01.1"/>
        <s v="Sc.N-01"/>
        <s v="Ta.N-01.1"/>
        <s v="Tr-N-01"/>
        <s v="Tr-N-01.1"/>
        <s v="Tr-N-02.1"/>
        <s v="Tr-N-02"/>
        <s v="Tr-N-03.1"/>
        <s v="Tr-N-03"/>
        <s v="Tr-N-04.1"/>
        <s v="Tr-N-04"/>
        <s v="Tr-N-05.1"/>
        <s v="Tr-N-05"/>
        <s v="Tr-N-06.1"/>
        <s v="Tr-N-07.1"/>
        <s v="Tr-N-08.1"/>
        <s v="Tr-N-SCH2.1"/>
        <s v="Tr-N-SCH2"/>
        <s v="Tr-N-SCH2.2"/>
        <s v="Tr-N-SCH1.1"/>
        <s v="Tr-N-SCH1"/>
        <s v="Tr-N-SCH1.2"/>
      </sharedItems>
    </cacheField>
    <cacheField name="Szt." numFmtId="0">
      <sharedItems containsString="0" containsBlank="1" containsNumber="1" containsInteger="1" minValue="1" maxValue="26"/>
    </cacheField>
    <cacheField name="L [m]" numFmtId="0">
      <sharedItems containsSemiMixedTypes="0" containsString="0" containsNumber="1" minValue="0.18" maxValue="163.36000000000001"/>
    </cacheField>
    <cacheField name="B [m]" numFmtId="0">
      <sharedItems containsSemiMixedTypes="0" containsString="0" containsNumber="1" minValue="0.18" maxValue="0.83"/>
    </cacheField>
    <cacheField name="A [m2]" numFmtId="164">
      <sharedItems containsSemiMixedTypes="0" containsString="0" containsNumber="1" minValue="3.2399999999999998E-2" maxValue="29.404800000000002"/>
    </cacheField>
    <cacheField name="hd" numFmtId="164">
      <sharedItems containsSemiMixedTypes="0" containsString="0" containsNumber="1" minValue="3.37" maxValue="12.67"/>
    </cacheField>
    <cacheField name="hg" numFmtId="164">
      <sharedItems containsSemiMixedTypes="0" containsString="0" containsNumber="1" minValue="5.79" maxValue="15.59"/>
    </cacheField>
    <cacheField name="h [m]" numFmtId="164">
      <sharedItems containsSemiMixedTypes="0" containsString="0" containsNumber="1" minValue="2.42" maxValue="2.9200000000000008"/>
    </cacheField>
    <cacheField name="Vj [m3]" numFmtId="164">
      <sharedItems containsSemiMixedTypes="0" containsString="0" containsNumber="1" minValue="9.4607999999999998E-2" maxValue="85.862015999999997"/>
    </cacheField>
    <cacheField name="V [m3]" numFmtId="164">
      <sharedItems containsSemiMixedTypes="0" containsString="0" containsNumber="1" minValue="9.4607999999999998E-2" maxValue="85.862015999999997"/>
    </cacheField>
    <cacheField name="Uwagi " numFmtId="164">
      <sharedItems containsBlank="1"/>
    </cacheField>
    <cacheField name="Wg zestawienia" numFmtId="164">
      <sharedItems containsBlank="1" containsMixedTypes="1" containsNumber="1" containsInteger="1" minValue="32" maxValue="1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Olechnowicz" refreshedDate="46030.847274884261" createdVersion="8" refreshedVersion="8" minRefreshableVersion="3" recordCount="140" xr:uid="{43DE9ACC-80BA-4965-B8D0-17AEDD119F06}">
  <cacheSource type="worksheet">
    <worksheetSource name="Tabela_Belki_N"/>
  </cacheSource>
  <cacheFields count="14">
    <cacheField name="Rodzaj elementu" numFmtId="0">
      <sharedItems count="7">
        <s v="Belki nadziemia"/>
        <s v="Wsporniki nadziemia"/>
        <s v="Wieńce nadziemia"/>
        <s v="Nadproża witryn klatki schodowej"/>
        <s v="Attyki"/>
        <s v="Nadproża drzwi (nadziemie)"/>
        <s v="Nadproża nadziemia" u="1"/>
      </sharedItems>
    </cacheField>
    <cacheField name="Kondygnacja" numFmtId="0">
      <sharedItems containsBlank="1" count="6">
        <s v="Kondygnacja +1"/>
        <s v="Kondygnacja +2"/>
        <s v="Kondygnacja +3"/>
        <s v="Kondygnacja +4"/>
        <s v="Dach"/>
        <m u="1"/>
      </sharedItems>
    </cacheField>
    <cacheField name="Szt." numFmtId="0">
      <sharedItems containsString="0" containsBlank="1" containsNumber="1" containsInteger="1" minValue="1" maxValue="15"/>
    </cacheField>
    <cacheField name="Nazwa elementu" numFmtId="0">
      <sharedItems/>
    </cacheField>
    <cacheField name="L [m]" numFmtId="0">
      <sharedItems containsSemiMixedTypes="0" containsString="0" containsNumber="1" minValue="0.63" maxValue="266.7"/>
    </cacheField>
    <cacheField name="B [m]" numFmtId="0">
      <sharedItems containsSemiMixedTypes="0" containsString="0" containsNumber="1" minValue="0.18" maxValue="0.36"/>
    </cacheField>
    <cacheField name="h [m]" numFmtId="164">
      <sharedItems containsSemiMixedTypes="0" containsString="0" containsNumber="1" minValue="3.9999999999999147E-2" maxValue="1.1000000000000014"/>
    </cacheField>
    <cacheField name="A [m2]" numFmtId="164">
      <sharedItems containsSemiMixedTypes="0" containsString="0" containsNumber="1" minValue="0.1134" maxValue="48.005999999999993"/>
    </cacheField>
    <cacheField name="hd" numFmtId="0">
      <sharedItems containsSemiMixedTypes="0" containsString="0" containsNumber="1" minValue="4.6399999999999997" maxValue="15.77"/>
    </cacheField>
    <cacheField name="hg" numFmtId="0">
      <sharedItems containsSemiMixedTypes="0" containsString="0" containsNumber="1" minValue="4.8600000000000003" maxValue="16.87"/>
    </cacheField>
    <cacheField name="Vj [m3]" numFmtId="164">
      <sharedItems containsSemiMixedTypes="0" containsString="0" containsNumber="1" minValue="6.4799999999998617E-3" maxValue="22.158180000000026"/>
    </cacheField>
    <cacheField name="V [m3]" numFmtId="164">
      <sharedItems containsSemiMixedTypes="0" containsString="0" containsNumber="1" minValue="6.4799999999998617E-3" maxValue="22.158180000000026"/>
    </cacheField>
    <cacheField name="Uwagi " numFmtId="164">
      <sharedItems containsBlank="1"/>
    </cacheField>
    <cacheField name="Wg zestawienia" numFmtId="16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Olechnowicz" refreshedDate="46030.848787384261" createdVersion="8" refreshedVersion="8" minRefreshableVersion="3" recordCount="23" xr:uid="{48127BD9-0BE5-471C-8D02-9A65ED8B9A6C}">
  <cacheSource type="worksheet">
    <worksheetSource name="Tabela_Windy"/>
  </cacheSource>
  <cacheFields count="14">
    <cacheField name="Rodzaj elementu" numFmtId="0">
      <sharedItems containsBlank="1" count="4">
        <s v="Ściana podszybia"/>
        <s v="Wieniec szybu"/>
        <s v="Nadproża szybu"/>
        <m u="1"/>
      </sharedItems>
    </cacheField>
    <cacheField name="Kondygnacja" numFmtId="0">
      <sharedItems containsBlank="1" count="6">
        <s v="Kondygnacja +0"/>
        <s v="Kondygnacja +1"/>
        <s v="Kondygnacja +2"/>
        <s v="Kondygnacja +3"/>
        <s v="Kondygnacja +4"/>
        <m u="1"/>
      </sharedItems>
    </cacheField>
    <cacheField name="Szt." numFmtId="0">
      <sharedItems containsSemiMixedTypes="0" containsString="0" containsNumber="1" containsInteger="1" minValue="3" maxValue="3"/>
    </cacheField>
    <cacheField name="Nazwa elementu" numFmtId="0">
      <sharedItems/>
    </cacheField>
    <cacheField name="L [m]" numFmtId="0">
      <sharedItems containsSemiMixedTypes="0" containsString="0" containsNumber="1" minValue="2.0099999999999998" maxValue="8.94"/>
    </cacheField>
    <cacheField name="B [m]" numFmtId="0">
      <sharedItems containsSemiMixedTypes="0" containsString="0" containsNumber="1" minValue="0.1" maxValue="0.18"/>
    </cacheField>
    <cacheField name="h [m]" numFmtId="164">
      <sharedItems containsSemiMixedTypes="0" containsString="0" containsNumber="1" minValue="7.0000000000000007E-2" maxValue="0.98"/>
    </cacheField>
    <cacheField name="A [m2]" numFmtId="164">
      <sharedItems containsSemiMixedTypes="0" containsString="0" containsNumber="1" minValue="0.20099999999999998" maxValue="1.6091999999999997"/>
    </cacheField>
    <cacheField name="hd" numFmtId="164">
      <sharedItems containsString="0" containsBlank="1" containsNumber="1" minValue="-1" maxValue="14.71"/>
    </cacheField>
    <cacheField name="hg" numFmtId="164">
      <sharedItems containsString="0" containsBlank="1" containsNumber="1" minValue="-0.02" maxValue="15.01"/>
    </cacheField>
    <cacheField name="Vj [m3]" numFmtId="164">
      <sharedItems containsSemiMixedTypes="0" containsString="0" containsNumber="1" minValue="1.4070000000000001E-2" maxValue="1.5770159999999998"/>
    </cacheField>
    <cacheField name="V [m3]" numFmtId="164">
      <sharedItems containsSemiMixedTypes="0" containsString="0" containsNumber="1" minValue="4.2210000000000004E-2" maxValue="4.7310479999999995"/>
    </cacheField>
    <cacheField name="Uwagi " numFmtId="164">
      <sharedItems containsNonDate="0" containsString="0" containsBlank="1"/>
    </cacheField>
    <cacheField name="Wg zestawienia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Olechnowicz" refreshedDate="46030.849354398146" createdVersion="8" refreshedVersion="8" minRefreshableVersion="3" recordCount="8" xr:uid="{B3CF01F6-6511-42E2-9B9F-FD924D623B49}">
  <cacheSource type="worksheet">
    <worksheetSource name="Tabela_Schody"/>
  </cacheSource>
  <cacheFields count="14">
    <cacheField name="Rodzaj elementu" numFmtId="0">
      <sharedItems/>
    </cacheField>
    <cacheField name="Kondygnacja" numFmtId="0">
      <sharedItems containsBlank="1" count="5">
        <s v="Kondygnacja +0"/>
        <s v="Kondygnacja +1"/>
        <s v="Kondygnacja +2"/>
        <s v="Kondygnacja +3"/>
        <m u="1"/>
      </sharedItems>
    </cacheField>
    <cacheField name="Szt." numFmtId="0">
      <sharedItems containsSemiMixedTypes="0" containsString="0" containsNumber="1" containsInteger="1" minValue="3" maxValue="3"/>
    </cacheField>
    <cacheField name="Nazwa elementu" numFmtId="0">
      <sharedItems containsBlank="1" count="6">
        <s v="B.SCH-01"/>
        <s v="B.SCH-02"/>
        <s v="B.SCH-03"/>
        <s v="B.SCH-04"/>
        <s v="B.SCH-05"/>
        <m u="1"/>
      </sharedItems>
    </cacheField>
    <cacheField name="L [m]" numFmtId="0">
      <sharedItems containsNonDate="0" containsString="0" containsBlank="1"/>
    </cacheField>
    <cacheField name="B [m]" numFmtId="0">
      <sharedItems containsSemiMixedTypes="0" containsString="0" containsNumber="1" minValue="1.2" maxValue="1.25"/>
    </cacheField>
    <cacheField name="h [m]" numFmtId="164">
      <sharedItems containsNonDate="0" containsString="0" containsBlank="1"/>
    </cacheField>
    <cacheField name="A [m2]" numFmtId="164">
      <sharedItems containsSemiMixedTypes="0" containsString="0" containsNumber="1" minValue="0.95176731000000003" maxValue="1.3216985000000001"/>
    </cacheField>
    <cacheField name="hd" numFmtId="164">
      <sharedItems containsNonDate="0" containsString="0" containsBlank="1"/>
    </cacheField>
    <cacheField name="hg" numFmtId="164">
      <sharedItems containsNonDate="0" containsString="0" containsBlank="1"/>
    </cacheField>
    <cacheField name="Vj [m3]" numFmtId="164">
      <sharedItems containsSemiMixedTypes="0" containsString="0" containsNumber="1" minValue="0.95176731000000003" maxValue="1.3216985000000001"/>
    </cacheField>
    <cacheField name="V [m3]" numFmtId="164">
      <sharedItems containsSemiMixedTypes="0" containsString="0" containsNumber="1" minValue="2.85530193" maxValue="3.9650955000000003"/>
    </cacheField>
    <cacheField name="Uwagi " numFmtId="164">
      <sharedItems containsNonDate="0" containsString="0" containsBlank="1"/>
    </cacheField>
    <cacheField name="Wg zestawienia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Olechnowicz" refreshedDate="46030.878637731483" createdVersion="8" refreshedVersion="8" minRefreshableVersion="3" recordCount="49" xr:uid="{B4170C4E-9C7D-4136-ADD1-1CE87924F8CF}">
  <cacheSource type="worksheet">
    <worksheetSource name="Tabela_Stropy_N"/>
  </cacheSource>
  <cacheFields count="14">
    <cacheField name="Rodzaj elementu" numFmtId="0">
      <sharedItems count="2">
        <s v="Płyta stropowa"/>
        <s v="Balkony"/>
      </sharedItems>
    </cacheField>
    <cacheField name="Kondygnacja" numFmtId="0">
      <sharedItems count="10">
        <s v="Kondygnacja +1"/>
        <s v="Kondygnacja +2"/>
        <s v="Kondygnacja +3"/>
        <s v="Kondygnacja +4"/>
        <s v="Kondygnacja Dachu"/>
        <s v="Dach" u="1"/>
        <s v="Kondygnacja 1" u="1"/>
        <s v="Kondygnacja 2" u="1"/>
        <s v="Kondygnacja 3" u="1"/>
        <s v="Kondygnacja 4" u="1"/>
      </sharedItems>
    </cacheField>
    <cacheField name="Szt." numFmtId="0">
      <sharedItems containsString="0" containsBlank="1" containsNumber="1" containsInteger="1" minValue="1" maxValue="6"/>
    </cacheField>
    <cacheField name="Nazwa elementu" numFmtId="0">
      <sharedItems/>
    </cacheField>
    <cacheField name="L [m]" numFmtId="0">
      <sharedItems containsString="0" containsBlank="1" containsNumber="1" minValue="-3.98" maxValue="6.2850000000000001"/>
    </cacheField>
    <cacheField name="B [m]" numFmtId="0">
      <sharedItems containsString="0" containsBlank="1" containsNumber="1" minValue="1.36" maxValue="2.61"/>
    </cacheField>
    <cacheField name="h [m]" numFmtId="164">
      <sharedItems containsSemiMixedTypes="0" containsString="0" containsNumber="1" minValue="0.16999999999999993" maxValue="0.20000000000000284"/>
    </cacheField>
    <cacheField name="Uwagi" numFmtId="164">
      <sharedItems containsBlank="1"/>
    </cacheField>
    <cacheField name="A [m2]" numFmtId="164">
      <sharedItems containsSemiMixedTypes="0" containsString="0" containsNumber="1" minValue="-10.387799999999999" maxValue="769.29"/>
    </cacheField>
    <cacheField name="hd" numFmtId="164">
      <sharedItems containsSemiMixedTypes="0" containsString="0" containsNumber="1" minValue="6.29" maxValue="16.399999999999999"/>
    </cacheField>
    <cacheField name="hg" numFmtId="164">
      <sharedItems containsSemiMixedTypes="0" containsString="0" containsNumber="1" minValue="6.46" maxValue="16.600000000000001"/>
    </cacheField>
    <cacheField name="Vj [m3]" numFmtId="164">
      <sharedItems containsSemiMixedTypes="0" containsString="0" containsNumber="1" minValue="-1.8698039999999967" maxValue="138.47219999999979"/>
    </cacheField>
    <cacheField name="V [m3]" numFmtId="164">
      <sharedItems containsSemiMixedTypes="0" containsString="0" containsNumber="1" minValue="-1.8698039999999967" maxValue="138.47219999999979"/>
    </cacheField>
    <cacheField name="Wg zestawienia" numFmtId="16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x v="0"/>
    <n v="92.34"/>
    <n v="0.18"/>
    <n v="16.621200000000002"/>
    <n v="-1"/>
    <n v="3.12"/>
    <n v="4.12"/>
    <n v="68.479344000000012"/>
    <m/>
    <n v="100"/>
  </r>
  <r>
    <x v="0"/>
    <x v="1"/>
    <n v="20.46"/>
    <n v="0.18"/>
    <n v="3.6827999999999999"/>
    <n v="-1"/>
    <n v="2.78"/>
    <n v="3.78"/>
    <n v="13.920983999999999"/>
    <m/>
    <n v="23"/>
  </r>
  <r>
    <x v="0"/>
    <x v="2"/>
    <n v="7.82"/>
    <n v="0.18"/>
    <n v="1.4076"/>
    <n v="-1.6"/>
    <n v="2.78"/>
    <n v="4.38"/>
    <n v="6.1652879999999994"/>
    <m/>
    <n v="9"/>
  </r>
  <r>
    <x v="0"/>
    <x v="3"/>
    <n v="30.14"/>
    <n v="0.18"/>
    <n v="5.4252000000000002"/>
    <n v="-1.6"/>
    <n v="3.12"/>
    <n v="4.7200000000000006"/>
    <n v="25.606944000000006"/>
    <m/>
    <n v="33"/>
  </r>
  <r>
    <x v="0"/>
    <x v="4"/>
    <n v="18.760000000000002"/>
    <n v="0.18"/>
    <n v="3.3768000000000002"/>
    <n v="-1.9"/>
    <n v="3.12"/>
    <n v="5.0199999999999996"/>
    <n v="16.951536000000001"/>
    <m/>
    <n v="20"/>
  </r>
  <r>
    <x v="0"/>
    <x v="5"/>
    <n v="15.14"/>
    <n v="0.24"/>
    <n v="3.6335999999999999"/>
    <n v="-2"/>
    <n v="2.7"/>
    <n v="4.7"/>
    <n v="17.077919999999999"/>
    <s v="Inna grubość"/>
    <n v="15"/>
  </r>
  <r>
    <x v="1"/>
    <x v="6"/>
    <n v="24.78"/>
    <n v="0.18"/>
    <n v="4.4603999999999999"/>
    <n v="-1"/>
    <n v="-0.24"/>
    <n v="0.76"/>
    <n v="3.389904"/>
    <m/>
    <n v="25"/>
  </r>
  <r>
    <x v="1"/>
    <x v="7"/>
    <n v="2.6"/>
    <n v="0.18"/>
    <n v="0.46799999999999997"/>
    <n v="-1"/>
    <n v="-0.24"/>
    <n v="0.76"/>
    <n v="0.35568"/>
    <m/>
    <n v="3"/>
  </r>
  <r>
    <x v="1"/>
    <x v="8"/>
    <n v="28.62"/>
    <n v="0.18"/>
    <n v="5.1516000000000002"/>
    <n v="-1"/>
    <n v="-0.24"/>
    <n v="0.76"/>
    <n v="3.915216"/>
    <m/>
    <n v="30"/>
  </r>
  <r>
    <x v="1"/>
    <x v="9"/>
    <n v="8.08"/>
    <n v="0.18"/>
    <n v="1.4543999999999999"/>
    <n v="-1.9"/>
    <n v="-0.24"/>
    <n v="1.66"/>
    <n v="2.4143039999999996"/>
    <m/>
    <n v="8.5"/>
  </r>
  <r>
    <x v="1"/>
    <x v="10"/>
    <n v="65.67"/>
    <n v="0.18"/>
    <n v="11.820600000000001"/>
    <n v="-1"/>
    <n v="-0.02"/>
    <n v="0.98"/>
    <n v="11.584188000000001"/>
    <m/>
    <n v="70"/>
  </r>
  <r>
    <x v="1"/>
    <x v="11"/>
    <n v="2.5"/>
    <n v="0.18"/>
    <n v="0.44999999999999996"/>
    <n v="-1.6"/>
    <n v="-0.02"/>
    <n v="1.58"/>
    <n v="0.71099999999999997"/>
    <m/>
    <n v="3"/>
  </r>
  <r>
    <x v="1"/>
    <x v="12"/>
    <n v="23.48"/>
    <n v="0.18"/>
    <n v="4.2263999999999999"/>
    <n v="-1.1000000000000001"/>
    <n v="-0.02"/>
    <n v="1.08"/>
    <n v="4.5645120000000006"/>
    <s v="żle opisana wysokość"/>
    <n v="30"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3"/>
    <n v="0.6"/>
    <n v="0.35"/>
    <n v="0.21"/>
    <n v="-1"/>
    <n v="2.33"/>
    <n v="3.33"/>
    <n v="0.69930000000000003"/>
    <m/>
    <m/>
  </r>
  <r>
    <x v="2"/>
    <x v="14"/>
    <n v="0.6"/>
    <n v="0.35"/>
    <n v="0.21"/>
    <n v="-1"/>
    <n v="2.33"/>
    <n v="3.33"/>
    <n v="0.69930000000000003"/>
    <m/>
    <m/>
  </r>
  <r>
    <x v="2"/>
    <x v="14"/>
    <n v="0.6"/>
    <n v="0.35"/>
    <n v="0.21"/>
    <n v="-1"/>
    <n v="2.33"/>
    <n v="3.33"/>
    <n v="0.69930000000000003"/>
    <m/>
    <m/>
  </r>
  <r>
    <x v="2"/>
    <x v="14"/>
    <n v="0.6"/>
    <n v="0.35"/>
    <n v="0.21"/>
    <n v="-1"/>
    <n v="2.33"/>
    <n v="3.33"/>
    <n v="0.69930000000000003"/>
    <m/>
    <m/>
  </r>
  <r>
    <x v="2"/>
    <x v="14"/>
    <n v="0.6"/>
    <n v="0.35"/>
    <n v="0.21"/>
    <n v="-1"/>
    <n v="2.33"/>
    <n v="3.33"/>
    <n v="0.69930000000000003"/>
    <m/>
    <m/>
  </r>
  <r>
    <x v="2"/>
    <x v="14"/>
    <n v="0.6"/>
    <n v="0.35"/>
    <n v="0.21"/>
    <n v="-1"/>
    <n v="2.33"/>
    <n v="3.33"/>
    <n v="0.69930000000000003"/>
    <m/>
    <m/>
  </r>
  <r>
    <x v="2"/>
    <x v="15"/>
    <n v="0.6"/>
    <n v="0.35"/>
    <n v="0.21"/>
    <n v="-1"/>
    <n v="2.57"/>
    <n v="3.57"/>
    <n v="0.74969999999999992"/>
    <m/>
    <m/>
  </r>
  <r>
    <x v="2"/>
    <x v="15"/>
    <n v="0.6"/>
    <n v="0.35"/>
    <n v="0.21"/>
    <n v="-1"/>
    <n v="2.57"/>
    <n v="3.57"/>
    <n v="0.74969999999999992"/>
    <m/>
    <m/>
  </r>
  <r>
    <x v="2"/>
    <x v="15"/>
    <n v="0.6"/>
    <n v="0.35"/>
    <n v="0.21"/>
    <n v="-1"/>
    <n v="2.57"/>
    <n v="3.57"/>
    <n v="0.74969999999999992"/>
    <m/>
    <m/>
  </r>
  <r>
    <x v="2"/>
    <x v="16"/>
    <n v="0.35"/>
    <n v="0.35"/>
    <n v="0.12249999999999998"/>
    <n v="-1"/>
    <n v="3.12"/>
    <n v="4.12"/>
    <n v="0.50469999999999993"/>
    <m/>
    <m/>
  </r>
  <r>
    <x v="2"/>
    <x v="16"/>
    <n v="0.35"/>
    <n v="0.35"/>
    <n v="0.12249999999999998"/>
    <n v="-1"/>
    <n v="3.12"/>
    <n v="4.12"/>
    <n v="0.50469999999999993"/>
    <m/>
    <m/>
  </r>
  <r>
    <x v="2"/>
    <x v="16"/>
    <n v="0.35"/>
    <n v="0.35"/>
    <n v="0.12249999999999998"/>
    <n v="-1"/>
    <n v="3.12"/>
    <n v="4.12"/>
    <n v="0.50469999999999993"/>
    <m/>
    <m/>
  </r>
  <r>
    <x v="2"/>
    <x v="16"/>
    <n v="0.35"/>
    <n v="0.35"/>
    <n v="0.12249999999999998"/>
    <n v="-1"/>
    <n v="3.12"/>
    <n v="4.12"/>
    <n v="0.50469999999999993"/>
    <m/>
    <m/>
  </r>
  <r>
    <x v="2"/>
    <x v="16"/>
    <n v="0.35"/>
    <n v="0.35"/>
    <n v="0.12249999999999998"/>
    <n v="-1"/>
    <n v="3.12"/>
    <n v="4.12"/>
    <n v="0.50469999999999993"/>
    <m/>
    <m/>
  </r>
  <r>
    <x v="2"/>
    <x v="16"/>
    <n v="0.35"/>
    <n v="0.35"/>
    <n v="0.12249999999999998"/>
    <n v="-1"/>
    <n v="3.12"/>
    <n v="4.12"/>
    <n v="0.50469999999999993"/>
    <m/>
    <m/>
  </r>
  <r>
    <x v="2"/>
    <x v="16"/>
    <n v="0.35"/>
    <n v="0.35"/>
    <n v="0.12249999999999998"/>
    <n v="-1"/>
    <n v="3.12"/>
    <n v="4.12"/>
    <n v="0.50469999999999993"/>
    <m/>
    <m/>
  </r>
  <r>
    <x v="2"/>
    <x v="16"/>
    <n v="0.35"/>
    <n v="0.35"/>
    <n v="0.12249999999999998"/>
    <n v="-1"/>
    <n v="3.12"/>
    <n v="4.12"/>
    <n v="0.50469999999999993"/>
    <m/>
    <m/>
  </r>
  <r>
    <x v="2"/>
    <x v="17"/>
    <n v="0.35"/>
    <n v="0.35"/>
    <n v="0.12249999999999998"/>
    <n v="-1"/>
    <n v="3.12"/>
    <n v="4.12"/>
    <m/>
    <s v="S-P.11 Na rzucie 8 szt. W zestawieniu 11 szt."/>
    <m/>
  </r>
  <r>
    <x v="2"/>
    <x v="17"/>
    <n v="0.35"/>
    <n v="0.35"/>
    <n v="0.12249999999999998"/>
    <n v="-1"/>
    <n v="3.12"/>
    <n v="4.12"/>
    <m/>
    <s v="S-P.11 Na rzucie 8 szt. W zestawieniu 11 szt."/>
    <m/>
  </r>
  <r>
    <x v="2"/>
    <x v="17"/>
    <n v="0.35"/>
    <n v="0.35"/>
    <n v="0.12249999999999998"/>
    <n v="-1"/>
    <n v="3.12"/>
    <n v="4.12"/>
    <m/>
    <s v="S-P.11 Na rzucie 8 szt. W zestawieniu 11 szt."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8"/>
    <n v="0.6"/>
    <n v="0.35"/>
    <n v="0.21"/>
    <n v="-1"/>
    <n v="3.57"/>
    <n v="4.57"/>
    <n v="0.9597"/>
    <m/>
    <m/>
  </r>
  <r>
    <x v="2"/>
    <x v="19"/>
    <n v="0.6"/>
    <n v="0.35"/>
    <n v="0.21"/>
    <n v="-1"/>
    <n v="2.87"/>
    <n v="3.87"/>
    <n v="0.81269999999999998"/>
    <m/>
    <m/>
  </r>
  <r>
    <x v="2"/>
    <x v="20"/>
    <n v="0.6"/>
    <n v="0.35"/>
    <n v="0.21"/>
    <n v="-1.9"/>
    <n v="2.57"/>
    <n v="4.47"/>
    <n v="0.93869999999999987"/>
    <m/>
    <m/>
  </r>
  <r>
    <x v="2"/>
    <x v="20"/>
    <n v="0.6"/>
    <n v="0.35"/>
    <n v="0.21"/>
    <n v="-1.9"/>
    <n v="2.57"/>
    <n v="4.47"/>
    <n v="0.93869999999999987"/>
    <m/>
    <m/>
  </r>
  <r>
    <x v="2"/>
    <x v="20"/>
    <n v="0.6"/>
    <n v="0.35"/>
    <n v="0.21"/>
    <n v="-1.9"/>
    <n v="2.57"/>
    <n v="4.47"/>
    <n v="0.93869999999999987"/>
    <m/>
    <m/>
  </r>
  <r>
    <x v="2"/>
    <x v="21"/>
    <n v="0.35"/>
    <n v="0.35"/>
    <n v="0.12249999999999998"/>
    <n v="-1.9"/>
    <n v="2.57"/>
    <n v="4.47"/>
    <n v="0.54757499999999992"/>
    <m/>
    <m/>
  </r>
  <r>
    <x v="2"/>
    <x v="21"/>
    <n v="0.35"/>
    <n v="0.35"/>
    <n v="0.12249999999999998"/>
    <n v="-1.9"/>
    <n v="2.57"/>
    <n v="4.47"/>
    <n v="0.54757499999999992"/>
    <m/>
    <m/>
  </r>
  <r>
    <x v="2"/>
    <x v="17"/>
    <n v="0.35"/>
    <n v="0.35"/>
    <n v="0.12249999999999998"/>
    <n v="-1.9"/>
    <n v="2.57"/>
    <n v="4.47"/>
    <m/>
    <s v="S-P.12 Na rzucie 2 szt. W zestawieniu 4 szt."/>
    <m/>
  </r>
  <r>
    <x v="2"/>
    <x v="17"/>
    <n v="0.35"/>
    <n v="0.35"/>
    <n v="0.12249999999999998"/>
    <n v="-1.9"/>
    <n v="2.57"/>
    <n v="4.47"/>
    <m/>
    <s v="S-P.12 Na rzucie 2 szt. W zestawieniu 4 szt."/>
    <m/>
  </r>
  <r>
    <x v="2"/>
    <x v="22"/>
    <n v="0.35"/>
    <n v="0.35"/>
    <n v="0.12249999999999998"/>
    <n v="-1.6"/>
    <n v="2.57"/>
    <n v="4.17"/>
    <n v="0.51082499999999997"/>
    <m/>
    <m/>
  </r>
  <r>
    <x v="2"/>
    <x v="22"/>
    <n v="0.35"/>
    <n v="0.35"/>
    <n v="0.12249999999999998"/>
    <n v="-1.6"/>
    <n v="2.4"/>
    <n v="4"/>
    <n v="0.48999999999999994"/>
    <m/>
    <m/>
  </r>
  <r>
    <x v="2"/>
    <x v="23"/>
    <n v="0.35"/>
    <n v="0.35"/>
    <n v="0.12249999999999998"/>
    <n v="-1.6"/>
    <n v="2.57"/>
    <n v="4.17"/>
    <n v="0.51082499999999997"/>
    <m/>
    <m/>
  </r>
  <r>
    <x v="2"/>
    <x v="23"/>
    <n v="0.35"/>
    <n v="0.35"/>
    <n v="0.12249999999999998"/>
    <n v="-1.6"/>
    <n v="2.57"/>
    <n v="4.17"/>
    <n v="0.51082499999999997"/>
    <m/>
    <m/>
  </r>
  <r>
    <x v="2"/>
    <x v="24"/>
    <n v="0.4"/>
    <m/>
    <n v="0.12566370614359174"/>
    <n v="-1.6"/>
    <n v="2.57"/>
    <n v="4.17"/>
    <n v="0.52401765461877758"/>
    <m/>
    <m/>
  </r>
  <r>
    <x v="2"/>
    <x v="24"/>
    <n v="0.4"/>
    <m/>
    <n v="0.12566370614359174"/>
    <n v="-1.6"/>
    <n v="2.57"/>
    <n v="4.17"/>
    <n v="0.52401765461877758"/>
    <m/>
    <m/>
  </r>
  <r>
    <x v="2"/>
    <x v="24"/>
    <n v="0.4"/>
    <m/>
    <n v="0.12566370614359174"/>
    <n v="-1.6"/>
    <n v="2.57"/>
    <n v="4.17"/>
    <n v="0.52401765461877758"/>
    <m/>
    <m/>
  </r>
  <r>
    <x v="2"/>
    <x v="24"/>
    <n v="0.4"/>
    <m/>
    <n v="0.12566370614359174"/>
    <n v="-1.6"/>
    <n v="2.57"/>
    <n v="4.17"/>
    <n v="0.52401765461877758"/>
    <m/>
    <m/>
  </r>
  <r>
    <x v="2"/>
    <x v="24"/>
    <n v="0.4"/>
    <m/>
    <n v="0.12566370614359174"/>
    <n v="-1.6"/>
    <n v="2.57"/>
    <n v="4.17"/>
    <n v="0.52401765461877758"/>
    <m/>
    <m/>
  </r>
  <r>
    <x v="2"/>
    <x v="25"/>
    <n v="0.4"/>
    <m/>
    <n v="0.12566370614359174"/>
    <n v="-1.9"/>
    <n v="2.57"/>
    <n v="4.47"/>
    <n v="0.56171676646185498"/>
    <m/>
    <m/>
  </r>
  <r>
    <x v="2"/>
    <x v="25"/>
    <n v="0.4"/>
    <m/>
    <n v="0.12566370614359174"/>
    <n v="-1.9"/>
    <n v="2.57"/>
    <n v="4.47"/>
    <n v="0.56171676646185498"/>
    <m/>
    <m/>
  </r>
  <r>
    <x v="2"/>
    <x v="26"/>
    <n v="0.4"/>
    <n v="0.35"/>
    <n v="0.13999999999999999"/>
    <n v="-1.6"/>
    <n v="2.57"/>
    <n v="4.17"/>
    <n v="0.58379999999999987"/>
    <m/>
    <m/>
  </r>
  <r>
    <x v="2"/>
    <x v="27"/>
    <n v="1.52"/>
    <n v="0.35"/>
    <n v="0.53199999999999992"/>
    <n v="-1.6"/>
    <n v="2.4"/>
    <n v="4"/>
    <n v="2.1279999999999997"/>
    <m/>
    <m/>
  </r>
  <r>
    <x v="3"/>
    <x v="28"/>
    <n v="0.6"/>
    <n v="0.25"/>
    <n v="0.15"/>
    <n v="-1"/>
    <n v="2.57"/>
    <n v="3.57"/>
    <n v="0.53549999999999998"/>
    <m/>
    <m/>
  </r>
  <r>
    <x v="3"/>
    <x v="29"/>
    <n v="0.6"/>
    <n v="0.25"/>
    <n v="0.15"/>
    <n v="-1.1000000000000001"/>
    <n v="2.57"/>
    <n v="3.67"/>
    <n v="0.55049999999999999"/>
    <m/>
    <m/>
  </r>
  <r>
    <x v="3"/>
    <x v="30"/>
    <n v="0.35"/>
    <n v="0.18"/>
    <n v="6.3E-2"/>
    <n v="-1"/>
    <n v="2.33"/>
    <n v="3.33"/>
    <n v="0.20979"/>
    <s v="Tr-P.11 na rzucie 4 szt. W zestaweniu 5 szt."/>
    <m/>
  </r>
  <r>
    <x v="3"/>
    <x v="30"/>
    <n v="0.35"/>
    <n v="0.18"/>
    <n v="6.3E-2"/>
    <n v="-1"/>
    <n v="2.33"/>
    <n v="3.33"/>
    <n v="0.20979"/>
    <m/>
    <m/>
  </r>
  <r>
    <x v="3"/>
    <x v="30"/>
    <n v="0.35"/>
    <n v="0.18"/>
    <n v="6.3E-2"/>
    <n v="-1"/>
    <n v="2.33"/>
    <n v="3.33"/>
    <n v="0.20979"/>
    <m/>
    <m/>
  </r>
  <r>
    <x v="3"/>
    <x v="30"/>
    <n v="0.35"/>
    <n v="0.18"/>
    <n v="6.3E-2"/>
    <n v="-1"/>
    <n v="2.33"/>
    <n v="3.33"/>
    <n v="0.20979"/>
    <m/>
    <m/>
  </r>
  <r>
    <x v="3"/>
    <x v="31"/>
    <n v="0.35"/>
    <n v="0.18"/>
    <n v="6.3E-2"/>
    <n v="-1"/>
    <n v="2.7"/>
    <n v="3.7"/>
    <n v="0.2331"/>
    <m/>
    <m/>
  </r>
  <r>
    <x v="3"/>
    <x v="17"/>
    <n v="0.35"/>
    <n v="0.18"/>
    <n v="6.3E-2"/>
    <n v="-1"/>
    <n v="2.7"/>
    <n v="3.7"/>
    <m/>
    <s v="Tr-P.12 na rzucie 5 szt. W zestaweniu 6 szt."/>
    <m/>
  </r>
  <r>
    <x v="3"/>
    <x v="31"/>
    <n v="0.35"/>
    <n v="0.18"/>
    <n v="6.3E-2"/>
    <n v="-1"/>
    <n v="2.7"/>
    <n v="3.7"/>
    <n v="0.2331"/>
    <m/>
    <m/>
  </r>
  <r>
    <x v="3"/>
    <x v="31"/>
    <n v="0.35"/>
    <n v="0.18"/>
    <n v="6.3E-2"/>
    <n v="-1"/>
    <n v="2.7"/>
    <n v="3.7"/>
    <n v="0.2331"/>
    <m/>
    <m/>
  </r>
  <r>
    <x v="3"/>
    <x v="31"/>
    <n v="0.35"/>
    <n v="0.18"/>
    <n v="6.3E-2"/>
    <n v="-1"/>
    <n v="2.7"/>
    <n v="3.7"/>
    <n v="0.2331"/>
    <m/>
    <m/>
  </r>
  <r>
    <x v="3"/>
    <x v="31"/>
    <n v="0.35"/>
    <n v="0.18"/>
    <n v="6.3E-2"/>
    <n v="-1"/>
    <n v="2.7"/>
    <n v="3.7"/>
    <n v="0.2331"/>
    <m/>
    <m/>
  </r>
  <r>
    <x v="3"/>
    <x v="32"/>
    <n v="0.35"/>
    <n v="0.25"/>
    <n v="8.7499999999999994E-2"/>
    <n v="-1"/>
    <n v="2.57"/>
    <n v="3.57"/>
    <n v="0.31237499999999996"/>
    <m/>
    <m/>
  </r>
  <r>
    <x v="3"/>
    <x v="32"/>
    <n v="0.35"/>
    <n v="0.25"/>
    <n v="8.7499999999999994E-2"/>
    <n v="-1"/>
    <n v="2.57"/>
    <n v="3.57"/>
    <n v="0.31237499999999996"/>
    <m/>
    <m/>
  </r>
  <r>
    <x v="3"/>
    <x v="32"/>
    <n v="0.35"/>
    <n v="0.25"/>
    <n v="8.7499999999999994E-2"/>
    <n v="-1"/>
    <n v="2.57"/>
    <n v="3.57"/>
    <n v="0.31237499999999996"/>
    <m/>
    <m/>
  </r>
  <r>
    <x v="3"/>
    <x v="32"/>
    <n v="0.35"/>
    <n v="0.25"/>
    <n v="8.7499999999999994E-2"/>
    <n v="-1"/>
    <n v="2.57"/>
    <n v="3.57"/>
    <n v="0.31237499999999996"/>
    <m/>
    <m/>
  </r>
  <r>
    <x v="3"/>
    <x v="33"/>
    <n v="0.4"/>
    <n v="0.25"/>
    <n v="0.1"/>
    <n v="-1.9"/>
    <n v="2.57"/>
    <n v="4.47"/>
    <n v="0.44700000000000001"/>
    <m/>
    <m/>
  </r>
  <r>
    <x v="3"/>
    <x v="34"/>
    <n v="0.6"/>
    <n v="0.18"/>
    <n v="0.108"/>
    <n v="-1"/>
    <n v="2.33"/>
    <n v="3.33"/>
    <n v="0.35964000000000002"/>
    <m/>
    <m/>
  </r>
  <r>
    <x v="3"/>
    <x v="34"/>
    <n v="0.6"/>
    <n v="0.18"/>
    <n v="0.108"/>
    <n v="-1"/>
    <n v="2.33"/>
    <n v="3.33"/>
    <n v="0.3596400000000000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s v="Kondygnacja 0"/>
    <m/>
    <x v="0"/>
    <n v="17.27"/>
    <n v="2"/>
    <n v="34.54"/>
    <n v="-1.4"/>
    <n v="-1"/>
    <n v="0.39999999999999991"/>
    <n v="13.815999999999997"/>
    <n v="13.815999999999997"/>
    <m/>
    <n v="21.44"/>
  </r>
  <r>
    <x v="0"/>
    <s v="Kondygnacja 0"/>
    <m/>
    <x v="0"/>
    <m/>
    <m/>
    <n v="11.148999999999999"/>
    <n v="-1.4"/>
    <n v="-1"/>
    <n v="0.39999999999999991"/>
    <n v="4.4595999999999982"/>
    <n v="4.4595999999999982"/>
    <m/>
    <m/>
  </r>
  <r>
    <x v="0"/>
    <s v="Kondygnacja 0"/>
    <m/>
    <x v="1"/>
    <m/>
    <m/>
    <n v="19.905000000000001"/>
    <n v="-2.2999999999999998"/>
    <n v="-1.9"/>
    <n v="0.39999999999999991"/>
    <n v="7.9619999999999989"/>
    <n v="7.9619999999999989"/>
    <m/>
    <n v="10.064"/>
  </r>
  <r>
    <x v="0"/>
    <s v="Kondygnacja 0"/>
    <m/>
    <x v="1"/>
    <m/>
    <m/>
    <n v="10.2331"/>
    <n v="-2.2999999999999998"/>
    <n v="-1.9"/>
    <n v="0.39999999999999991"/>
    <n v="4.0932399999999989"/>
    <n v="4.0932399999999989"/>
    <m/>
    <m/>
  </r>
  <r>
    <x v="0"/>
    <s v="Kondygnacja 0"/>
    <m/>
    <x v="2"/>
    <n v="8.31"/>
    <n v="1.5"/>
    <n v="12.465"/>
    <n v="-1.4"/>
    <n v="-1"/>
    <n v="0.39999999999999991"/>
    <n v="4.9859999999999989"/>
    <n v="4.9859999999999989"/>
    <m/>
    <n v="5.580000000000001"/>
  </r>
  <r>
    <x v="0"/>
    <s v="Kondygnacja 0"/>
    <m/>
    <x v="3"/>
    <n v="1.65"/>
    <n v="1.4"/>
    <n v="2.3099999999999996"/>
    <n v="-1.4"/>
    <n v="-1"/>
    <n v="0.39999999999999991"/>
    <n v="0.9239999999999996"/>
    <n v="0.9239999999999996"/>
    <m/>
    <n v="4.2559999999999993"/>
  </r>
  <r>
    <x v="0"/>
    <s v="Kondygnacja 0"/>
    <m/>
    <x v="4"/>
    <n v="8.4"/>
    <n v="1.2"/>
    <n v="10.08"/>
    <n v="-1.4"/>
    <n v="-1"/>
    <n v="0.39999999999999991"/>
    <n v="4.0319999999999991"/>
    <n v="4.0319999999999991"/>
    <m/>
    <n v="8.2559999999999985"/>
  </r>
  <r>
    <x v="0"/>
    <s v="Kondygnacja 0"/>
    <m/>
    <x v="4"/>
    <m/>
    <m/>
    <n v="14.627700000000001"/>
    <n v="-1.4"/>
    <n v="-1"/>
    <n v="0.39999999999999991"/>
    <n v="5.8510799999999987"/>
    <n v="5.8510799999999987"/>
    <m/>
    <m/>
  </r>
  <r>
    <x v="0"/>
    <s v="Kondygnacja 0"/>
    <m/>
    <x v="5"/>
    <n v="76.489999999999995"/>
    <n v="0.7"/>
    <n v="53.542999999999992"/>
    <n v="-1.4"/>
    <n v="-1"/>
    <n v="0.39999999999999991"/>
    <n v="21.41719999999999"/>
    <n v="21.41719999999999"/>
    <m/>
    <n v="22.96"/>
  </r>
  <r>
    <x v="0"/>
    <s v="Kondygnacja 0"/>
    <m/>
    <x v="6"/>
    <n v="16.53"/>
    <n v="0.7"/>
    <n v="11.571"/>
    <n v="-2.5"/>
    <n v="-2"/>
    <n v="0.5"/>
    <n v="5.7854999999999999"/>
    <n v="5.7854999999999999"/>
    <m/>
    <n v="5.9499999999999993"/>
  </r>
  <r>
    <x v="1"/>
    <s v="Kondygnacja 0"/>
    <n v="1"/>
    <x v="7"/>
    <n v="7.05"/>
    <n v="8.73"/>
    <n v="61.546500000000002"/>
    <m/>
    <m/>
    <n v="0.4"/>
    <n v="24.618600000000001"/>
    <n v="24.618600000000001"/>
    <m/>
    <m/>
  </r>
  <r>
    <x v="1"/>
    <s v="Kondygnacja 0"/>
    <m/>
    <x v="7"/>
    <n v="3.8149999999999999"/>
    <n v="3.0249999999999999"/>
    <n v="11.540374999999999"/>
    <m/>
    <m/>
    <n v="0.1"/>
    <n v="1.1540375"/>
    <n v="1.1540375"/>
    <s v="Połębienie posadowienia pod windą"/>
    <m/>
  </r>
  <r>
    <x v="1"/>
    <s v="Kondygnacja 0"/>
    <m/>
    <x v="7"/>
    <n v="2.4550000000000001"/>
    <n v="1.665"/>
    <n v="4.0875750000000002"/>
    <m/>
    <m/>
    <n v="-0.1"/>
    <n v="-0.40875750000000005"/>
    <n v="-0.40875750000000005"/>
    <s v="Zadolenie góry pod windę"/>
    <m/>
  </r>
  <r>
    <x v="1"/>
    <s v="Kondygnacja 0"/>
    <n v="1"/>
    <x v="8"/>
    <n v="7.05"/>
    <n v="8.73"/>
    <n v="61.546500000000002"/>
    <m/>
    <m/>
    <n v="0.4"/>
    <n v="24.618600000000001"/>
    <n v="24.618600000000001"/>
    <m/>
    <m/>
  </r>
  <r>
    <x v="1"/>
    <s v="Kondygnacja 0"/>
    <m/>
    <x v="8"/>
    <n v="3.8149999999999999"/>
    <n v="3.02"/>
    <n v="11.5213"/>
    <m/>
    <m/>
    <n v="0.1"/>
    <n v="1.1521300000000001"/>
    <n v="1.1521300000000001"/>
    <s v="Połębienie posadowienia pod windą"/>
    <m/>
  </r>
  <r>
    <x v="1"/>
    <s v="Kondygnacja 0"/>
    <m/>
    <x v="8"/>
    <n v="2.4550000000000001"/>
    <n v="1.665"/>
    <n v="4.0875750000000002"/>
    <m/>
    <m/>
    <n v="-0.1"/>
    <n v="-0.40875750000000005"/>
    <n v="-0.40875750000000005"/>
    <s v="Zadolenie góry pod windę"/>
    <m/>
  </r>
  <r>
    <x v="1"/>
    <s v="Kondygnacja 0"/>
    <n v="1"/>
    <x v="9"/>
    <m/>
    <m/>
    <n v="31.1509"/>
    <m/>
    <m/>
    <n v="0.4"/>
    <n v="12.460360000000001"/>
    <n v="12.460360000000001"/>
    <s v="rzędne (-1,.40 do -1.00)"/>
    <m/>
  </r>
  <r>
    <x v="1"/>
    <s v="Kondygnacja 0"/>
    <m/>
    <x v="9"/>
    <m/>
    <m/>
    <n v="7.1486999999999998"/>
    <m/>
    <m/>
    <n v="1"/>
    <n v="7.1486999999999998"/>
    <n v="7.1486999999999998"/>
    <s v="rzędne  (-2.00 do -1.00)"/>
    <m/>
  </r>
  <r>
    <x v="1"/>
    <s v="Kondygnacja 0"/>
    <m/>
    <x v="9"/>
    <m/>
    <m/>
    <n v="29.848400000000002"/>
    <m/>
    <m/>
    <n v="0.4"/>
    <n v="11.939360000000001"/>
    <n v="11.939360000000001"/>
    <s v="rzędne (-2.00 do -1.60)"/>
    <m/>
  </r>
  <r>
    <x v="1"/>
    <s v="Kondygnacja 0"/>
    <m/>
    <x v="9"/>
    <n v="2.34"/>
    <n v="3.87"/>
    <n v="9.0557999999999996"/>
    <m/>
    <m/>
    <n v="0.1"/>
    <n v="0.90558000000000005"/>
    <n v="0.90558000000000005"/>
    <s v="Połębienie posadowienia pod windą"/>
    <m/>
  </r>
  <r>
    <x v="1"/>
    <s v="Kondygnacja 0"/>
    <m/>
    <x v="9"/>
    <n v="1.66"/>
    <n v="2.5099999999999998"/>
    <n v="4.1665999999999999"/>
    <m/>
    <m/>
    <n v="-0.1"/>
    <n v="-0.41666000000000003"/>
    <n v="-0.41666000000000003"/>
    <s v="Zadolenie góry pod windę"/>
    <m/>
  </r>
  <r>
    <x v="1"/>
    <s v="Kondygnacja 0"/>
    <n v="1"/>
    <x v="10"/>
    <n v="3"/>
    <n v="11.5"/>
    <n v="34.5"/>
    <m/>
    <m/>
    <n v="0.6"/>
    <n v="20.7"/>
    <n v="20.7"/>
    <m/>
    <m/>
  </r>
  <r>
    <x v="1"/>
    <s v="Kondygnacja 0"/>
    <n v="1"/>
    <x v="11"/>
    <n v="2.8"/>
    <n v="10.8"/>
    <n v="30.24"/>
    <m/>
    <m/>
    <n v="0.5"/>
    <n v="15.12"/>
    <n v="15.12"/>
    <m/>
    <m/>
  </r>
  <r>
    <x v="1"/>
    <s v="Kondygnacja 0"/>
    <n v="1"/>
    <x v="12"/>
    <m/>
    <m/>
    <n v="19.8538"/>
    <m/>
    <m/>
    <n v="0.4"/>
    <n v="7.9415200000000006"/>
    <n v="7.9415200000000006"/>
    <m/>
    <m/>
  </r>
  <r>
    <x v="2"/>
    <s v="Kondygnacja 0"/>
    <n v="1"/>
    <x v="13"/>
    <m/>
    <m/>
    <n v="1.0027999999999999"/>
    <m/>
    <m/>
    <n v="1.4"/>
    <n v="1.4039199999999998"/>
    <n v="1.4039199999999998"/>
    <m/>
    <m/>
  </r>
  <r>
    <x v="2"/>
    <s v="Kondygnacja 0"/>
    <n v="1"/>
    <x v="14"/>
    <m/>
    <m/>
    <n v="0.997"/>
    <m/>
    <m/>
    <n v="2"/>
    <n v="1.994"/>
    <n v="1.994"/>
    <s v="na przekroju zły kształt, przyjęto wymiary poprawne"/>
    <m/>
  </r>
  <r>
    <x v="2"/>
    <s v="Kondygnacja 0"/>
    <n v="1"/>
    <x v="14"/>
    <m/>
    <m/>
    <n v="0.997"/>
    <m/>
    <m/>
    <n v="2"/>
    <n v="1.994"/>
    <n v="1.994"/>
    <m/>
    <m/>
  </r>
  <r>
    <x v="2"/>
    <s v="Kondygnacja 0"/>
    <n v="1"/>
    <x v="15"/>
    <m/>
    <m/>
    <n v="1.0052000000000001"/>
    <m/>
    <m/>
    <n v="0.7"/>
    <n v="0.70364000000000004"/>
    <n v="0.70364000000000004"/>
    <m/>
    <m/>
  </r>
  <r>
    <x v="3"/>
    <s v="Kondygnacja 0"/>
    <n v="4"/>
    <x v="16"/>
    <n v="2.5"/>
    <n v="2.5"/>
    <n v="6.25"/>
    <m/>
    <m/>
    <n v="0.5"/>
    <n v="3.125"/>
    <n v="12.5"/>
    <m/>
    <m/>
  </r>
  <r>
    <x v="3"/>
    <s v="Kondygnacja 0"/>
    <n v="1"/>
    <x v="17"/>
    <n v="2.5"/>
    <n v="2.5"/>
    <n v="6.25"/>
    <m/>
    <m/>
    <n v="0.5"/>
    <n v="3.125"/>
    <n v="3.125"/>
    <m/>
    <m/>
  </r>
  <r>
    <x v="3"/>
    <s v="Kondygnacja 0"/>
    <n v="2"/>
    <x v="18"/>
    <n v="3"/>
    <n v="3"/>
    <n v="9"/>
    <m/>
    <m/>
    <n v="0.6"/>
    <n v="5.3999999999999995"/>
    <n v="10.799999999999999"/>
    <m/>
    <m/>
  </r>
  <r>
    <x v="3"/>
    <s v="Kondygnacja 0"/>
    <n v="2"/>
    <x v="19"/>
    <n v="3"/>
    <n v="3"/>
    <n v="9"/>
    <m/>
    <m/>
    <n v="0.6"/>
    <n v="5.3999999999999995"/>
    <n v="10.799999999999999"/>
    <m/>
    <m/>
  </r>
  <r>
    <x v="3"/>
    <s v="Kondygnacja 0"/>
    <n v="1"/>
    <x v="20"/>
    <n v="3"/>
    <n v="3"/>
    <n v="9"/>
    <m/>
    <m/>
    <n v="0.6"/>
    <n v="5.3999999999999995"/>
    <n v="5.3999999999999995"/>
    <m/>
    <m/>
  </r>
  <r>
    <x v="3"/>
    <s v="Kondygnacja 0"/>
    <n v="1"/>
    <x v="21"/>
    <n v="2.2000000000000002"/>
    <n v="2.2000000000000002"/>
    <n v="4.8400000000000007"/>
    <m/>
    <m/>
    <n v="0.4"/>
    <n v="1.9360000000000004"/>
    <n v="1.9360000000000004"/>
    <m/>
    <m/>
  </r>
  <r>
    <x v="3"/>
    <s v="Kondygnacja 0"/>
    <n v="3"/>
    <x v="22"/>
    <n v="1.8"/>
    <n v="1.8"/>
    <n v="3.24"/>
    <m/>
    <m/>
    <n v="0.4"/>
    <n v="1.2960000000000003"/>
    <n v="3.8880000000000008"/>
    <m/>
    <m/>
  </r>
  <r>
    <x v="3"/>
    <s v="Kondygnacja 0"/>
    <n v="1"/>
    <x v="23"/>
    <n v="3"/>
    <n v="3.5"/>
    <n v="10.5"/>
    <m/>
    <m/>
    <n v="0.6"/>
    <n v="6.3"/>
    <n v="6.3"/>
    <m/>
    <m/>
  </r>
  <r>
    <x v="3"/>
    <s v="Kondygnacja 0"/>
    <n v="3"/>
    <x v="24"/>
    <n v="4.9000000000000004"/>
    <n v="2.5"/>
    <n v="12.25"/>
    <m/>
    <m/>
    <n v="0.5"/>
    <n v="6.125"/>
    <n v="18.375"/>
    <m/>
    <m/>
  </r>
  <r>
    <x v="3"/>
    <s v="Kondygnacja 0"/>
    <n v="1"/>
    <x v="25"/>
    <n v="5.9"/>
    <n v="2.5"/>
    <n v="14.75"/>
    <m/>
    <m/>
    <n v="0.5"/>
    <n v="7.375"/>
    <n v="7.375"/>
    <m/>
    <m/>
  </r>
  <r>
    <x v="3"/>
    <s v="Kondygnacja 0"/>
    <n v="7"/>
    <x v="26"/>
    <n v="2.5"/>
    <n v="2"/>
    <n v="5"/>
    <m/>
    <m/>
    <n v="0.5"/>
    <n v="2.5"/>
    <n v="17.5"/>
    <m/>
    <m/>
  </r>
  <r>
    <x v="3"/>
    <s v="Kondygnacja 0"/>
    <n v="1"/>
    <x v="27"/>
    <n v="2.5"/>
    <n v="2"/>
    <n v="5"/>
    <m/>
    <m/>
    <n v="0.5"/>
    <n v="2.5"/>
    <n v="2.5"/>
    <m/>
    <m/>
  </r>
  <r>
    <x v="4"/>
    <s v="Kondygnacja 0"/>
    <n v="1"/>
    <x v="28"/>
    <n v="1.1000000000000001"/>
    <n v="0.8"/>
    <n v="0.88000000000000012"/>
    <m/>
    <m/>
    <n v="0.25"/>
    <n v="0.22000000000000003"/>
    <n v="0.22000000000000003"/>
    <m/>
    <m/>
  </r>
  <r>
    <x v="4"/>
    <s v="Kondygnacja 0"/>
    <m/>
    <x v="28"/>
    <n v="3.2"/>
    <n v="0.15"/>
    <n v="0.48"/>
    <m/>
    <m/>
    <n v="0.56000000000000005"/>
    <n v="0.26880000000000004"/>
    <n v="0.26880000000000004"/>
    <m/>
    <m/>
  </r>
  <r>
    <x v="4"/>
    <s v="Kondygnacja 0"/>
    <n v="1"/>
    <x v="29"/>
    <n v="1.1000000000000001"/>
    <n v="1.1000000000000001"/>
    <n v="1.2100000000000002"/>
    <m/>
    <m/>
    <n v="0.25"/>
    <n v="0.30250000000000005"/>
    <n v="0.30250000000000005"/>
    <m/>
    <m/>
  </r>
  <r>
    <x v="4"/>
    <s v="Kondygnacja 0"/>
    <m/>
    <x v="29"/>
    <n v="3.8000000000000003"/>
    <n v="0.15"/>
    <n v="0.57000000000000006"/>
    <m/>
    <m/>
    <n v="0.56000000000000005"/>
    <n v="0.31920000000000004"/>
    <n v="0.31920000000000004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Kondygnacja 0"/>
    <n v="1"/>
    <x v="0"/>
    <n v="8.9100000000000019"/>
    <n v="0.6"/>
    <n v="0.8"/>
    <m/>
    <n v="5.346000000000001"/>
    <n v="2.57"/>
    <n v="3.37"/>
    <n v="4.2768000000000006"/>
    <n v="4.2768000000000006"/>
    <m/>
  </r>
  <r>
    <x v="0"/>
    <s v="Kondygnacja 0"/>
    <n v="1"/>
    <x v="1"/>
    <n v="2.27"/>
    <n v="0.6"/>
    <n v="0.41"/>
    <m/>
    <n v="1.3619999999999999"/>
    <n v="2.57"/>
    <n v="2.98"/>
    <n v="0.55841999999999992"/>
    <n v="0.55841999999999992"/>
    <m/>
  </r>
  <r>
    <x v="0"/>
    <s v="Kondygnacja 0"/>
    <n v="1"/>
    <x v="2"/>
    <n v="10.565000000000001"/>
    <n v="0.6"/>
    <n v="0.8"/>
    <m/>
    <n v="6.3390000000000004"/>
    <n v="2.57"/>
    <n v="3.37"/>
    <n v="5.071200000000001"/>
    <n v="5.071200000000001"/>
    <m/>
  </r>
  <r>
    <x v="0"/>
    <s v="Kondygnacja 0"/>
    <n v="1"/>
    <x v="3"/>
    <n v="10.565000000000001"/>
    <n v="0.6"/>
    <n v="0.8"/>
    <m/>
    <n v="6.3390000000000004"/>
    <n v="2.57"/>
    <n v="3.37"/>
    <n v="5.071200000000001"/>
    <n v="5.071200000000001"/>
    <m/>
  </r>
  <r>
    <x v="0"/>
    <s v="Kondygnacja 0"/>
    <n v="1"/>
    <x v="4"/>
    <n v="12.145000000000001"/>
    <n v="0.6"/>
    <n v="0.8"/>
    <m/>
    <n v="7.2870000000000008"/>
    <n v="2.57"/>
    <n v="3.37"/>
    <n v="5.829600000000001"/>
    <n v="5.829600000000001"/>
    <m/>
  </r>
  <r>
    <x v="0"/>
    <s v="Kondygnacja 0"/>
    <n v="2"/>
    <x v="5"/>
    <n v="11.78"/>
    <n v="0.35"/>
    <n v="0.8"/>
    <m/>
    <n v="4.1229999999999993"/>
    <m/>
    <n v="0.8"/>
    <n v="3.2983999999999996"/>
    <n v="6.5967999999999991"/>
    <m/>
  </r>
  <r>
    <x v="0"/>
    <s v="Kondygnacja 0"/>
    <n v="2"/>
    <x v="6"/>
    <n v="4.07"/>
    <n v="0.6"/>
    <n v="1.04"/>
    <m/>
    <n v="2.4420000000000002"/>
    <m/>
    <n v="1.04"/>
    <n v="2.5396800000000002"/>
    <n v="5.0793600000000003"/>
    <m/>
  </r>
  <r>
    <x v="0"/>
    <s v="Kondygnacja 0"/>
    <n v="2"/>
    <x v="7"/>
    <n v="6.78"/>
    <n v="0.6"/>
    <n v="0.65"/>
    <s v="zły wymiar w autocadzie"/>
    <n v="4.0679999999999996"/>
    <m/>
    <n v="0.65"/>
    <n v="2.6441999999999997"/>
    <n v="5.2883999999999993"/>
    <m/>
  </r>
  <r>
    <x v="0"/>
    <s v="Kondygnacja 0"/>
    <n v="2"/>
    <x v="8"/>
    <n v="5.85"/>
    <n v="0.35"/>
    <n v="0.8"/>
    <m/>
    <n v="2.0474999999999999"/>
    <m/>
    <n v="0.8"/>
    <n v="1.6379999999999999"/>
    <n v="3.2759999999999998"/>
    <m/>
  </r>
  <r>
    <x v="0"/>
    <s v="Kondygnacja 0"/>
    <n v="1"/>
    <x v="9"/>
    <n v="5.5049999999999999"/>
    <n v="0.35"/>
    <n v="0.8"/>
    <m/>
    <n v="1.9267499999999997"/>
    <n v="2.57"/>
    <n v="3.37"/>
    <n v="1.5413999999999999"/>
    <n v="1.5413999999999999"/>
    <m/>
  </r>
  <r>
    <x v="0"/>
    <s v="Kondygnacja 0"/>
    <n v="1"/>
    <x v="10"/>
    <n v="5.370000000000001"/>
    <n v="0.6"/>
    <n v="0.8"/>
    <m/>
    <n v="3.2220000000000004"/>
    <n v="2.57"/>
    <n v="3.37"/>
    <n v="2.5776000000000003"/>
    <n v="2.5776000000000003"/>
    <m/>
  </r>
  <r>
    <x v="0"/>
    <s v="Kondygnacja 0"/>
    <n v="1"/>
    <x v="11"/>
    <n v="5.3650000000000002"/>
    <n v="0.35"/>
    <n v="0.8"/>
    <m/>
    <n v="1.87775"/>
    <n v="2.57"/>
    <n v="3.37"/>
    <n v="1.5022000000000002"/>
    <n v="1.5022000000000002"/>
    <m/>
  </r>
  <r>
    <x v="0"/>
    <s v="Kondygnacja 0"/>
    <n v="1"/>
    <x v="12"/>
    <n v="5.82"/>
    <n v="0.35"/>
    <n v="0.8"/>
    <m/>
    <n v="2.0369999999999999"/>
    <n v="2.57"/>
    <n v="3.37"/>
    <n v="1.6295999999999999"/>
    <n v="1.6295999999999999"/>
    <m/>
  </r>
  <r>
    <x v="0"/>
    <s v="Kondygnacja 0"/>
    <n v="1"/>
    <x v="13"/>
    <n v="4.6750000000000007"/>
    <n v="0.35"/>
    <n v="0.8"/>
    <m/>
    <n v="1.6362500000000002"/>
    <n v="2.57"/>
    <n v="3.37"/>
    <n v="1.3090000000000002"/>
    <n v="1.3090000000000002"/>
    <m/>
  </r>
  <r>
    <x v="0"/>
    <s v="Kondygnacja 0"/>
    <n v="1"/>
    <x v="14"/>
    <n v="4.330000000000001"/>
    <n v="0.35"/>
    <n v="0.8"/>
    <m/>
    <n v="1.5155000000000003"/>
    <n v="2.57"/>
    <n v="3.37"/>
    <n v="1.2124000000000004"/>
    <n v="1.2124000000000004"/>
    <m/>
  </r>
  <r>
    <x v="0"/>
    <s v="Kondygnacja 0"/>
    <n v="1"/>
    <x v="15"/>
    <n v="7.3500000000000014"/>
    <n v="0.35"/>
    <n v="0.8"/>
    <m/>
    <n v="2.5725000000000002"/>
    <n v="2.57"/>
    <n v="3.37"/>
    <n v="2.0580000000000003"/>
    <n v="2.0580000000000003"/>
    <m/>
  </r>
  <r>
    <x v="0"/>
    <s v="Kondygnacja 0"/>
    <n v="1"/>
    <x v="16"/>
    <n v="4.5100000000000007"/>
    <n v="0.35"/>
    <n v="0.8"/>
    <m/>
    <n v="1.5785000000000002"/>
    <n v="2.57"/>
    <n v="3.37"/>
    <n v="1.2628000000000004"/>
    <n v="1.2628000000000004"/>
    <m/>
  </r>
  <r>
    <x v="0"/>
    <s v="Kondygnacja 0"/>
    <n v="1"/>
    <x v="17"/>
    <n v="1.9999999999999998"/>
    <n v="0.35"/>
    <n v="0.5"/>
    <m/>
    <n v="0.69999999999999984"/>
    <n v="2.87"/>
    <n v="3.37"/>
    <n v="0.34999999999999992"/>
    <n v="0.34999999999999992"/>
    <m/>
  </r>
  <r>
    <x v="0"/>
    <s v="Kondygnacja 0"/>
    <n v="1"/>
    <x v="18"/>
    <n v="5.8400000000000007"/>
    <n v="0.35"/>
    <n v="0.65"/>
    <m/>
    <n v="2.044"/>
    <n v="2.33"/>
    <n v="2.98"/>
    <n v="1.3286"/>
    <n v="1.3286"/>
    <m/>
  </r>
  <r>
    <x v="0"/>
    <s v="Kondygnacja 0"/>
    <n v="1"/>
    <x v="19"/>
    <n v="4.4800000000000004"/>
    <n v="0.35"/>
    <n v="1.04"/>
    <m/>
    <n v="1.5680000000000001"/>
    <n v="2.33"/>
    <n v="3.37"/>
    <n v="1.6307200000000002"/>
    <n v="1.6307200000000002"/>
    <m/>
  </r>
  <r>
    <x v="0"/>
    <s v="Kondygnacja 0"/>
    <n v="1"/>
    <x v="20"/>
    <n v="1.54"/>
    <n v="0.35"/>
    <n v="0.5"/>
    <m/>
    <n v="0.53899999999999992"/>
    <n v="2.87"/>
    <n v="3.37"/>
    <n v="0.26949999999999996"/>
    <n v="0.26949999999999996"/>
    <m/>
  </r>
  <r>
    <x v="0"/>
    <s v="Kondygnacja 0"/>
    <n v="1"/>
    <x v="21"/>
    <n v="3.1999999999999997"/>
    <n v="0.35"/>
    <n v="0.8"/>
    <m/>
    <n v="1.1199999999999999"/>
    <n v="2.57"/>
    <n v="3.37"/>
    <n v="0.89599999999999991"/>
    <n v="0.89599999999999991"/>
    <m/>
  </r>
  <r>
    <x v="0"/>
    <s v="Kondygnacja 0"/>
    <n v="1"/>
    <x v="22"/>
    <n v="5.660000000000001"/>
    <n v="0.35"/>
    <n v="0.65"/>
    <m/>
    <n v="1.9810000000000003"/>
    <n v="2.33"/>
    <n v="2.98"/>
    <n v="1.2876500000000002"/>
    <n v="1.2876500000000002"/>
    <m/>
  </r>
  <r>
    <x v="0"/>
    <s v="Kondygnacja 0"/>
    <n v="1"/>
    <x v="23"/>
    <n v="4.4800000000000004"/>
    <n v="0.35"/>
    <n v="1.04"/>
    <m/>
    <n v="1.5680000000000001"/>
    <n v="2.33"/>
    <n v="3.37"/>
    <n v="1.6307200000000002"/>
    <n v="1.6307200000000002"/>
    <m/>
  </r>
  <r>
    <x v="0"/>
    <s v="Kondygnacja 0"/>
    <n v="1"/>
    <x v="24"/>
    <n v="1.54"/>
    <n v="0.35"/>
    <n v="0.5"/>
    <m/>
    <n v="0.53899999999999992"/>
    <n v="2.87"/>
    <n v="3.37"/>
    <n v="0.26949999999999996"/>
    <n v="0.26949999999999996"/>
    <m/>
  </r>
  <r>
    <x v="0"/>
    <s v="Kondygnacja 0"/>
    <n v="1"/>
    <x v="25"/>
    <n v="2.85"/>
    <n v="0.35"/>
    <n v="0.8"/>
    <m/>
    <n v="0.99749999999999994"/>
    <n v="2.57"/>
    <n v="3.37"/>
    <n v="0.79800000000000004"/>
    <n v="0.79800000000000004"/>
    <m/>
  </r>
  <r>
    <x v="0"/>
    <s v="Kondygnacja 0"/>
    <n v="1"/>
    <x v="26"/>
    <n v="5.45"/>
    <n v="0.35"/>
    <n v="0.8"/>
    <m/>
    <n v="1.9075"/>
    <n v="2.57"/>
    <n v="3.37"/>
    <n v="1.526"/>
    <n v="1.526"/>
    <m/>
  </r>
  <r>
    <x v="0"/>
    <s v="Kondygnacja 0"/>
    <n v="1"/>
    <x v="27"/>
    <n v="3.52"/>
    <n v="0.35"/>
    <n v="0.65"/>
    <m/>
    <n v="1.232"/>
    <n v="2.33"/>
    <n v="2.98"/>
    <n v="0.80080000000000007"/>
    <n v="0.80080000000000007"/>
    <m/>
  </r>
  <r>
    <x v="0"/>
    <s v="Kondygnacja 0"/>
    <n v="1"/>
    <x v="28"/>
    <n v="0.35"/>
    <n v="0.35"/>
    <n v="1.04"/>
    <m/>
    <n v="0.12249999999999998"/>
    <n v="2.33"/>
    <n v="3.37"/>
    <n v="0.12739999999999999"/>
    <n v="0.12739999999999999"/>
    <m/>
  </r>
  <r>
    <x v="0"/>
    <s v="Kondygnacja 0"/>
    <n v="1"/>
    <x v="29"/>
    <n v="5.6700000000000008"/>
    <n v="0.35"/>
    <n v="0.8"/>
    <m/>
    <n v="1.9845000000000002"/>
    <n v="2.57"/>
    <n v="3.37"/>
    <n v="1.5876000000000001"/>
    <n v="1.5876000000000001"/>
    <m/>
  </r>
  <r>
    <x v="0"/>
    <s v="Kondygnacja 0"/>
    <n v="1"/>
    <x v="30"/>
    <n v="1.54"/>
    <n v="0.35"/>
    <n v="0.5"/>
    <m/>
    <n v="0.53899999999999992"/>
    <n v="2.87"/>
    <n v="3.37"/>
    <n v="0.26949999999999996"/>
    <n v="0.26949999999999996"/>
    <m/>
  </r>
  <r>
    <x v="0"/>
    <s v="Kondygnacja 0"/>
    <n v="1"/>
    <x v="31"/>
    <n v="7.9400000000000013"/>
    <n v="0.35"/>
    <n v="0.8"/>
    <m/>
    <n v="2.7790000000000004"/>
    <n v="2.57"/>
    <n v="3.37"/>
    <n v="2.2232000000000003"/>
    <n v="2.2232000000000003"/>
    <m/>
  </r>
  <r>
    <x v="0"/>
    <s v="Kondygnacja 0"/>
    <n v="1"/>
    <x v="32"/>
    <n v="5.45"/>
    <n v="0.35"/>
    <n v="0.8"/>
    <m/>
    <n v="1.9075"/>
    <n v="2.57"/>
    <n v="3.37"/>
    <n v="1.526"/>
    <n v="1.526"/>
    <m/>
  </r>
  <r>
    <x v="0"/>
    <s v="Kondygnacja 0"/>
    <n v="1"/>
    <x v="33"/>
    <n v="5.875"/>
    <n v="0.35"/>
    <n v="0.97"/>
    <m/>
    <n v="2.0562499999999999"/>
    <n v="2.4"/>
    <n v="3.37"/>
    <n v="1.9945624999999998"/>
    <n v="1.9945624999999998"/>
    <m/>
  </r>
  <r>
    <x v="0"/>
    <s v="Kondygnacja 0"/>
    <n v="1"/>
    <x v="34"/>
    <n v="13.15"/>
    <n v="0.35"/>
    <n v="0.8"/>
    <m/>
    <n v="4.6025"/>
    <n v="2.57"/>
    <n v="3.37"/>
    <n v="3.6820000000000004"/>
    <n v="3.6820000000000004"/>
    <m/>
  </r>
  <r>
    <x v="0"/>
    <s v="Kondygnacja 0"/>
    <n v="1"/>
    <x v="35"/>
    <n v="10.295"/>
    <n v="0.35"/>
    <n v="0.97"/>
    <m/>
    <n v="3.6032499999999996"/>
    <n v="2.4"/>
    <n v="3.37"/>
    <n v="3.4951524999999997"/>
    <n v="3.4951524999999997"/>
    <m/>
  </r>
  <r>
    <x v="0"/>
    <s v="Kondygnacja 0"/>
    <n v="1"/>
    <x v="36"/>
    <n v="3.585"/>
    <n v="0.6"/>
    <n v="1.04"/>
    <m/>
    <n v="2.1509999999999998"/>
    <n v="2.33"/>
    <n v="3.37"/>
    <n v="2.2370399999999999"/>
    <n v="2.2370399999999999"/>
    <m/>
  </r>
  <r>
    <x v="0"/>
    <s v="Kondygnacja 0"/>
    <n v="1"/>
    <x v="37"/>
    <n v="7.39"/>
    <n v="0.6"/>
    <n v="0.8"/>
    <m/>
    <n v="4.4339999999999993"/>
    <n v="2.57"/>
    <n v="3.37"/>
    <n v="3.5471999999999997"/>
    <n v="3.5471999999999997"/>
    <m/>
  </r>
  <r>
    <x v="0"/>
    <s v="Kondygnacja 0"/>
    <n v="1"/>
    <x v="38"/>
    <n v="6.03"/>
    <n v="0.6"/>
    <n v="0.8"/>
    <m/>
    <n v="3.6179999999999999"/>
    <m/>
    <n v="0.8"/>
    <n v="2.8944000000000001"/>
    <n v="2.8944000000000001"/>
    <m/>
  </r>
  <r>
    <x v="0"/>
    <s v="Kondygnacja 0"/>
    <n v="1"/>
    <x v="39"/>
    <n v="5.9050000000000002"/>
    <n v="0.6"/>
    <n v="0.8"/>
    <m/>
    <n v="3.5430000000000001"/>
    <n v="2.57"/>
    <n v="3.37"/>
    <n v="2.8344000000000005"/>
    <n v="2.8344000000000005"/>
    <m/>
  </r>
  <r>
    <x v="0"/>
    <s v="Kondygnacja 0"/>
    <n v="1"/>
    <x v="40"/>
    <n v="6.42"/>
    <n v="0.6"/>
    <n v="0.8"/>
    <m/>
    <n v="3.8519999999999999"/>
    <n v="2.57"/>
    <n v="3.37"/>
    <n v="3.0815999999999999"/>
    <n v="3.0815999999999999"/>
    <m/>
  </r>
  <r>
    <x v="0"/>
    <s v="Kondygnacja 0"/>
    <n v="1"/>
    <x v="41"/>
    <n v="10.425000000000001"/>
    <n v="0.35"/>
    <n v="0.8"/>
    <m/>
    <n v="3.6487500000000002"/>
    <m/>
    <n v="0.8"/>
    <n v="2.9190000000000005"/>
    <n v="2.9190000000000005"/>
    <m/>
  </r>
  <r>
    <x v="0"/>
    <s v="Kondygnacja 0"/>
    <n v="1"/>
    <x v="42"/>
    <n v="6.11"/>
    <n v="0.6"/>
    <n v="0.8"/>
    <m/>
    <n v="3.6659999999999999"/>
    <n v="2.57"/>
    <n v="3.37"/>
    <n v="2.9328000000000003"/>
    <n v="2.9328000000000003"/>
    <m/>
  </r>
  <r>
    <x v="0"/>
    <s v="Kondygnacja 0"/>
    <n v="1"/>
    <x v="43"/>
    <n v="3.85"/>
    <n v="0.6"/>
    <n v="0.6"/>
    <m/>
    <n v="2.31"/>
    <n v="2.77"/>
    <n v="3.37"/>
    <n v="1.3859999999999999"/>
    <n v="1.3859999999999999"/>
    <m/>
  </r>
  <r>
    <x v="0"/>
    <s v="Kondygnacja 0"/>
    <n v="1"/>
    <x v="44"/>
    <n v="12.665000000000001"/>
    <n v="0.6"/>
    <n v="0.8"/>
    <m/>
    <n v="7.5990000000000002"/>
    <n v="2.57"/>
    <n v="3.37"/>
    <n v="6.0792000000000002"/>
    <n v="6.0792000000000002"/>
    <m/>
  </r>
  <r>
    <x v="0"/>
    <s v="Kondygnacja 0"/>
    <n v="1"/>
    <x v="45"/>
    <n v="7.99"/>
    <n v="0.35"/>
    <n v="0.65"/>
    <m/>
    <n v="2.7965"/>
    <n v="2.33"/>
    <n v="2.98"/>
    <n v="1.817725"/>
    <n v="1.817725"/>
    <m/>
  </r>
  <r>
    <x v="0"/>
    <s v="Kondygnacja 0"/>
    <n v="1"/>
    <x v="46"/>
    <n v="3.63"/>
    <n v="0.35"/>
    <n v="1.04"/>
    <m/>
    <n v="1.2705"/>
    <n v="2.33"/>
    <n v="3.37"/>
    <n v="1.3213200000000001"/>
    <n v="1.3213200000000001"/>
    <m/>
  </r>
  <r>
    <x v="0"/>
    <s v="Kondygnacja 0"/>
    <n v="1"/>
    <x v="47"/>
    <n v="14.625"/>
    <n v="0.35"/>
    <n v="0.8"/>
    <m/>
    <n v="5.1187499999999995"/>
    <n v="2.57"/>
    <n v="3.37"/>
    <n v="4.0949999999999998"/>
    <n v="4.0949999999999998"/>
    <m/>
  </r>
  <r>
    <x v="0"/>
    <s v="Kondygnacja 0"/>
    <n v="1"/>
    <x v="48"/>
    <n v="12.335000000000001"/>
    <n v="0.35"/>
    <n v="0.8"/>
    <m/>
    <n v="4.3172499999999996"/>
    <n v="2.57"/>
    <n v="3.37"/>
    <n v="3.4537999999999998"/>
    <n v="3.4537999999999998"/>
    <m/>
  </r>
  <r>
    <x v="0"/>
    <s v="Kondygnacja 0"/>
    <n v="1"/>
    <x v="49"/>
    <n v="3.7000000000000006"/>
    <n v="0.35"/>
    <n v="0.8"/>
    <m/>
    <n v="1.2950000000000002"/>
    <m/>
    <n v="0.8"/>
    <n v="1.0360000000000003"/>
    <n v="1.0360000000000003"/>
    <m/>
  </r>
  <r>
    <x v="0"/>
    <s v="Kondygnacja 0"/>
    <n v="1"/>
    <x v="50"/>
    <n v="12.840000000000002"/>
    <n v="0.35"/>
    <n v="0.8"/>
    <m/>
    <n v="4.4940000000000007"/>
    <n v="2.57"/>
    <n v="3.37"/>
    <n v="3.5952000000000006"/>
    <n v="3.5952000000000006"/>
    <m/>
  </r>
  <r>
    <x v="0"/>
    <s v="Kondygnacja 0"/>
    <n v="1"/>
    <x v="51"/>
    <n v="7.99"/>
    <n v="0.35"/>
    <n v="0.65"/>
    <m/>
    <n v="2.7965"/>
    <n v="2.33"/>
    <n v="2.98"/>
    <n v="1.817725"/>
    <n v="1.817725"/>
    <m/>
  </r>
  <r>
    <x v="0"/>
    <s v="Kondygnacja 0"/>
    <n v="1"/>
    <x v="52"/>
    <n v="3.6349999999999998"/>
    <n v="0.35"/>
    <n v="1.04"/>
    <m/>
    <n v="1.2722499999999999"/>
    <n v="2.33"/>
    <n v="3.37"/>
    <n v="1.32314"/>
    <n v="1.32314"/>
    <m/>
  </r>
  <r>
    <x v="0"/>
    <s v="Kondygnacja 0"/>
    <n v="1"/>
    <x v="53"/>
    <n v="7.93"/>
    <n v="0.35"/>
    <n v="0.8"/>
    <m/>
    <n v="2.7754999999999996"/>
    <n v="2.57"/>
    <n v="3.37"/>
    <n v="2.2203999999999997"/>
    <n v="2.2203999999999997"/>
    <m/>
  </r>
  <r>
    <x v="0"/>
    <s v="Kondygnacja 0"/>
    <n v="1"/>
    <x v="54"/>
    <n v="2.39"/>
    <n v="0.35"/>
    <n v="1.04"/>
    <m/>
    <n v="0.83650000000000002"/>
    <n v="2.33"/>
    <n v="3.37"/>
    <n v="0.86996000000000007"/>
    <n v="0.86996000000000007"/>
    <m/>
  </r>
  <r>
    <x v="0"/>
    <s v="Kondygnacja 0"/>
    <n v="1"/>
    <x v="55"/>
    <n v="4.3"/>
    <n v="0.35"/>
    <n v="0.65"/>
    <m/>
    <n v="1.5049999999999999"/>
    <n v="2.33"/>
    <n v="2.98"/>
    <n v="0.97824999999999995"/>
    <n v="0.97824999999999995"/>
    <m/>
  </r>
  <r>
    <x v="0"/>
    <s v="Kondygnacja 0"/>
    <n v="1"/>
    <x v="56"/>
    <n v="4.4950000000000001"/>
    <n v="0.35"/>
    <n v="0.35"/>
    <m/>
    <n v="1.57325"/>
    <n v="2.33"/>
    <n v="2.68"/>
    <n v="0.5506375"/>
    <n v="0.5506375"/>
    <m/>
  </r>
  <r>
    <x v="0"/>
    <s v="Kondygnacja 0"/>
    <n v="1"/>
    <x v="57"/>
    <n v="5.43"/>
    <n v="0.6"/>
    <n v="1.04"/>
    <m/>
    <n v="3.2579999999999996"/>
    <n v="2.33"/>
    <n v="3.37"/>
    <n v="3.3883199999999998"/>
    <n v="3.3883199999999998"/>
    <m/>
  </r>
  <r>
    <x v="0"/>
    <s v="Kondygnacja 0"/>
    <n v="1"/>
    <x v="58"/>
    <n v="5.6"/>
    <n v="0.6"/>
    <n v="0.65"/>
    <m/>
    <n v="3.36"/>
    <n v="2.33"/>
    <n v="2.98"/>
    <n v="2.1840000000000002"/>
    <n v="2.1840000000000002"/>
    <m/>
  </r>
  <r>
    <x v="0"/>
    <s v="Kondygnacja 0"/>
    <n v="1"/>
    <x v="59"/>
    <n v="5.95"/>
    <n v="0.6"/>
    <n v="1.04"/>
    <m/>
    <n v="3.57"/>
    <n v="2.33"/>
    <n v="3.37"/>
    <n v="3.7128000000000001"/>
    <n v="3.7128000000000001"/>
    <m/>
  </r>
  <r>
    <x v="0"/>
    <s v="Kondygnacja 0"/>
    <n v="1"/>
    <x v="60"/>
    <n v="5.6700000000000008"/>
    <n v="0.35"/>
    <n v="0.8"/>
    <m/>
    <n v="1.9845000000000002"/>
    <n v="2.57"/>
    <n v="3.37"/>
    <n v="1.5876000000000001"/>
    <n v="1.5876000000000001"/>
    <m/>
  </r>
  <r>
    <x v="0"/>
    <s v="Kondygnacja 0"/>
    <n v="1"/>
    <x v="61"/>
    <n v="8.99"/>
    <n v="0.6"/>
    <n v="0.8"/>
    <m/>
    <n v="5.3940000000000001"/>
    <n v="2.57"/>
    <n v="3.37"/>
    <n v="4.3151999999999999"/>
    <n v="4.3151999999999999"/>
    <m/>
  </r>
  <r>
    <x v="0"/>
    <s v="Kondygnacja 0"/>
    <n v="1"/>
    <x v="62"/>
    <n v="6.11"/>
    <n v="0.6"/>
    <n v="0.8"/>
    <m/>
    <n v="3.6659999999999999"/>
    <n v="2.57"/>
    <n v="3.37"/>
    <n v="2.9328000000000003"/>
    <n v="2.9328000000000003"/>
    <m/>
  </r>
  <r>
    <x v="0"/>
    <s v="Kondygnacja 0"/>
    <n v="1"/>
    <x v="63"/>
    <n v="3.85"/>
    <n v="0.6"/>
    <n v="0.6"/>
    <m/>
    <n v="2.31"/>
    <n v="2.77"/>
    <n v="3.37"/>
    <n v="1.3859999999999999"/>
    <n v="1.3859999999999999"/>
    <m/>
  </r>
  <r>
    <x v="0"/>
    <s v="Kondygnacja 0"/>
    <n v="1"/>
    <x v="64"/>
    <n v="6.0750000000000002"/>
    <n v="0.35"/>
    <n v="0.8"/>
    <m/>
    <n v="2.1262499999999998"/>
    <n v="2.57"/>
    <n v="3.37"/>
    <n v="1.7009999999999998"/>
    <n v="1.7009999999999998"/>
    <m/>
  </r>
  <r>
    <x v="0"/>
    <s v="Kondygnacja 0"/>
    <n v="1"/>
    <x v="65"/>
    <n v="7.0650000000000004"/>
    <n v="0.6"/>
    <n v="0.8"/>
    <m/>
    <n v="4.2389999999999999"/>
    <n v="2.57"/>
    <n v="3.37"/>
    <n v="3.3912"/>
    <n v="3.3912"/>
    <m/>
  </r>
  <r>
    <x v="0"/>
    <s v="Kondygnacja 0"/>
    <n v="1"/>
    <x v="66"/>
    <n v="6.65"/>
    <n v="0.35"/>
    <n v="0.8"/>
    <m/>
    <n v="2.3275000000000001"/>
    <n v="2.57"/>
    <n v="3.37"/>
    <n v="1.8620000000000001"/>
    <n v="1.8620000000000001"/>
    <m/>
  </r>
  <r>
    <x v="0"/>
    <s v="Kondygnacja 0"/>
    <n v="2"/>
    <x v="67"/>
    <n v="5.51"/>
    <n v="0.35"/>
    <n v="0.8"/>
    <m/>
    <n v="1.9284999999999999"/>
    <n v="2.57"/>
    <n v="3.37"/>
    <n v="1.5427999999999999"/>
    <n v="3.0855999999999999"/>
    <m/>
  </r>
  <r>
    <x v="0"/>
    <s v="Kondygnacja 0"/>
    <n v="1"/>
    <x v="68"/>
    <n v="13.360000000000001"/>
    <n v="0.35"/>
    <n v="0.97"/>
    <m/>
    <n v="4.6760000000000002"/>
    <n v="2.4"/>
    <n v="3.37"/>
    <n v="4.5357200000000004"/>
    <n v="4.5357200000000004"/>
    <m/>
  </r>
  <r>
    <x v="0"/>
    <s v="Kondygnacja 0"/>
    <n v="1"/>
    <x v="69"/>
    <n v="0.6000000000000002"/>
    <n v="0.25"/>
    <n v="0.8"/>
    <m/>
    <n v="0.15000000000000005"/>
    <n v="2.57"/>
    <n v="3.37"/>
    <n v="0.12000000000000005"/>
    <n v="0.12000000000000005"/>
    <m/>
  </r>
  <r>
    <x v="0"/>
    <s v="Kondygnacja 0"/>
    <n v="1"/>
    <x v="70"/>
    <n v="6.8350000000000009"/>
    <n v="0.35"/>
    <n v="0.8"/>
    <m/>
    <n v="2.3922500000000002"/>
    <n v="2.57"/>
    <n v="3.37"/>
    <n v="1.9138000000000002"/>
    <n v="1.9138000000000002"/>
    <m/>
  </r>
  <r>
    <x v="0"/>
    <s v="Kondygnacja 0"/>
    <n v="1"/>
    <x v="71"/>
    <n v="5.1200000000000019"/>
    <n v="0.35"/>
    <n v="0.8"/>
    <m/>
    <n v="1.7920000000000005"/>
    <n v="2.57"/>
    <n v="3.37"/>
    <n v="1.4336000000000004"/>
    <n v="1.4336000000000004"/>
    <m/>
  </r>
  <r>
    <x v="0"/>
    <s v="Kondygnacja 0"/>
    <n v="1"/>
    <x v="72"/>
    <n v="2.5999999999999996"/>
    <n v="0.35"/>
    <n v="0.8"/>
    <m/>
    <n v="0.90999999999999981"/>
    <n v="2.57"/>
    <n v="3.37"/>
    <n v="0.72799999999999987"/>
    <n v="0.72799999999999987"/>
    <m/>
  </r>
  <r>
    <x v="0"/>
    <s v="Kondygnacja 0"/>
    <n v="1"/>
    <x v="73"/>
    <n v="6.9400000000000013"/>
    <n v="0.6"/>
    <n v="0.8"/>
    <m/>
    <n v="4.1640000000000006"/>
    <n v="2.57"/>
    <n v="3.37"/>
    <n v="3.3312000000000008"/>
    <n v="3.3312000000000008"/>
    <m/>
  </r>
  <r>
    <x v="0"/>
    <s v="Kondygnacja 0"/>
    <n v="1"/>
    <x v="74"/>
    <n v="4.07"/>
    <n v="0.6"/>
    <n v="1.04"/>
    <m/>
    <n v="2.4420000000000002"/>
    <n v="2.33"/>
    <n v="3.37"/>
    <n v="2.5396800000000002"/>
    <n v="2.5396800000000002"/>
    <m/>
  </r>
  <r>
    <x v="0"/>
    <s v="Kondygnacja 0"/>
    <n v="1"/>
    <x v="75"/>
    <n v="1.08"/>
    <n v="0.6"/>
    <n v="0.65"/>
    <s v="Inny opis długości w DWG"/>
    <n v="0.64800000000000002"/>
    <n v="2.33"/>
    <n v="2.98"/>
    <n v="0.42120000000000002"/>
    <n v="0.42120000000000002"/>
    <m/>
  </r>
  <r>
    <x v="0"/>
    <s v="Kondygnacja 0"/>
    <n v="1"/>
    <x v="76"/>
    <n v="1.6850000000000001"/>
    <n v="0.35"/>
    <n v="0.8"/>
    <m/>
    <n v="0.58975"/>
    <n v="2.57"/>
    <n v="3.37"/>
    <n v="0.4718"/>
    <n v="0.4718"/>
    <m/>
  </r>
  <r>
    <x v="0"/>
    <s v="Kondygnacja 0"/>
    <n v="1"/>
    <x v="77"/>
    <n v="0.45000000000000007"/>
    <n v="0.35"/>
    <n v="0.8"/>
    <m/>
    <n v="0.1575"/>
    <n v="2.57"/>
    <n v="3.37"/>
    <n v="0.126"/>
    <n v="0.126"/>
    <m/>
  </r>
  <r>
    <x v="1"/>
    <s v="Kondygnacja 0"/>
    <m/>
    <x v="78"/>
    <n v="4.0250000000000012"/>
    <n v="0.18"/>
    <n v="0.97"/>
    <m/>
    <n v="0.72450000000000014"/>
    <n v="2.4"/>
    <n v="3.37"/>
    <n v="0.70276500000000008"/>
    <n v="0.70276500000000008"/>
    <m/>
  </r>
  <r>
    <x v="1"/>
    <s v="Kondygnacja 0"/>
    <m/>
    <x v="79"/>
    <n v="4.99"/>
    <n v="0.18"/>
    <n v="1.07"/>
    <m/>
    <n v="0.8982"/>
    <n v="2.2999999999999998"/>
    <n v="3.37"/>
    <n v="0.96107400000000009"/>
    <n v="0.96107400000000009"/>
    <m/>
  </r>
  <r>
    <x v="2"/>
    <s v="Kondygnacja 0"/>
    <n v="3"/>
    <x v="80"/>
    <n v="1.56"/>
    <n v="0.18"/>
    <n v="0.68"/>
    <m/>
    <n v="0.28079999999999999"/>
    <n v="2.4"/>
    <n v="3.08"/>
    <n v="0.190944"/>
    <n v="0.57283200000000001"/>
    <m/>
  </r>
  <r>
    <x v="2"/>
    <s v="Kondygnacja 0"/>
    <n v="3"/>
    <x v="81"/>
    <n v="2.2650000000000001"/>
    <n v="0.18"/>
    <n v="0.68"/>
    <m/>
    <n v="0.40770000000000001"/>
    <n v="2.4"/>
    <n v="3.08"/>
    <n v="0.27723600000000004"/>
    <n v="0.83170800000000011"/>
    <m/>
  </r>
  <r>
    <x v="0"/>
    <s v="Kondygnacja 0"/>
    <n v="4"/>
    <x v="82"/>
    <n v="2.48"/>
    <n v="0.35"/>
    <n v="0.8"/>
    <m/>
    <n v="0.86799999999999999"/>
    <n v="2.57"/>
    <n v="3.37"/>
    <n v="0.69440000000000002"/>
    <n v="2.7776000000000001"/>
    <m/>
  </r>
  <r>
    <x v="3"/>
    <s v="Kondygnacja 0"/>
    <n v="3"/>
    <x v="83"/>
    <n v="2.6100000000000003"/>
    <n v="0.36"/>
    <n v="0.22"/>
    <m/>
    <n v="0.9396000000000001"/>
    <m/>
    <m/>
    <n v="0.20671200000000003"/>
    <n v="0.62013600000000013"/>
    <m/>
  </r>
  <r>
    <x v="4"/>
    <s v="Kondygnacja 0"/>
    <m/>
    <x v="84"/>
    <n v="70.599999999999994"/>
    <n v="0.18"/>
    <n v="0.28000000000000003"/>
    <m/>
    <n v="12.707999999999998"/>
    <n v="2.7"/>
    <n v="2.9800000000000004"/>
    <n v="3.5582400000000001"/>
    <n v="3.5582400000000001"/>
    <m/>
  </r>
  <r>
    <x v="4"/>
    <s v="Kondygnacja 0"/>
    <m/>
    <x v="85"/>
    <n v="24.4"/>
    <n v="0.35"/>
    <n v="0"/>
    <s v="wysokość wliczona w płytę stropową"/>
    <n v="8.5399999999999991"/>
    <n v="3.02"/>
    <n v="3.02"/>
    <n v="0"/>
    <n v="0"/>
    <m/>
  </r>
  <r>
    <x v="4"/>
    <s v="Kondygnacja 0"/>
    <m/>
    <x v="86"/>
    <n v="12.16"/>
    <n v="0.35"/>
    <n v="0"/>
    <s v="wysokość wliczona w płytę stropową"/>
    <n v="4.2559999999999993"/>
    <n v="2.87"/>
    <n v="2.87"/>
    <n v="0"/>
    <n v="0"/>
    <m/>
  </r>
  <r>
    <x v="5"/>
    <s v="Kondygnacja 0"/>
    <m/>
    <x v="87"/>
    <n v="1.48"/>
    <n v="0.18"/>
    <n v="0.48999999999999977"/>
    <m/>
    <n v="0.26639999999999997"/>
    <n v="2.4900000000000002"/>
    <n v="2.98"/>
    <n v="0.13053599999999993"/>
    <n v="0.13053599999999993"/>
    <m/>
  </r>
  <r>
    <x v="5"/>
    <s v="Kondygnacja 0"/>
    <m/>
    <x v="88"/>
    <n v="1.1200000000000001"/>
    <n v="0.18"/>
    <n v="0.93000000000000016"/>
    <m/>
    <n v="0.2016"/>
    <n v="2.0499999999999998"/>
    <n v="2.98"/>
    <n v="0.18748800000000004"/>
    <n v="0.18748800000000004"/>
    <m/>
  </r>
  <r>
    <x v="5"/>
    <s v="Kondygnacja 0"/>
    <m/>
    <x v="89"/>
    <n v="1"/>
    <n v="0.18"/>
    <n v="1.27"/>
    <m/>
    <n v="0.18"/>
    <n v="2.1"/>
    <n v="3.37"/>
    <n v="0.2286"/>
    <n v="0.2286"/>
    <m/>
  </r>
  <r>
    <x v="5"/>
    <s v="Kondygnacja 0"/>
    <m/>
    <x v="90"/>
    <n v="1"/>
    <n v="0.18"/>
    <n v="0.87999999999999989"/>
    <m/>
    <n v="0.18"/>
    <n v="2.1"/>
    <n v="2.98"/>
    <n v="0.15839999999999999"/>
    <n v="0.15839999999999999"/>
    <m/>
  </r>
  <r>
    <x v="5"/>
    <s v="Kondygnacja 0"/>
    <m/>
    <x v="87"/>
    <n v="1"/>
    <n v="0.18"/>
    <n v="1.27"/>
    <m/>
    <n v="0.18"/>
    <n v="2.1"/>
    <n v="3.37"/>
    <n v="0.2286"/>
    <n v="0.2286"/>
    <m/>
  </r>
  <r>
    <x v="5"/>
    <s v="Kondygnacja 0"/>
    <m/>
    <x v="87"/>
    <n v="1.1200000000000001"/>
    <n v="0.18"/>
    <n v="1.27"/>
    <m/>
    <n v="0.2016"/>
    <n v="2.1"/>
    <n v="3.37"/>
    <n v="0.25603199999999998"/>
    <n v="0.25603199999999998"/>
    <m/>
  </r>
  <r>
    <x v="5"/>
    <s v="Kondygnacja 0"/>
    <m/>
    <x v="87"/>
    <n v="1.1100000000000001"/>
    <n v="0.18"/>
    <n v="1.27"/>
    <m/>
    <n v="0.19980000000000001"/>
    <n v="2.1"/>
    <n v="3.37"/>
    <n v="0.25374600000000003"/>
    <n v="0.25374600000000003"/>
    <m/>
  </r>
  <r>
    <x v="5"/>
    <s v="Kondygnacja 0"/>
    <m/>
    <x v="87"/>
    <n v="1.5"/>
    <n v="0.18"/>
    <n v="0.89000000000000012"/>
    <m/>
    <n v="0.27"/>
    <n v="2.48"/>
    <n v="3.37"/>
    <n v="0.24030000000000004"/>
    <n v="0.24030000000000004"/>
    <m/>
  </r>
  <r>
    <x v="5"/>
    <s v="Kondygnacja 0"/>
    <m/>
    <x v="90"/>
    <n v="1"/>
    <n v="0.18"/>
    <n v="1.27"/>
    <m/>
    <n v="0.18"/>
    <n v="2.1"/>
    <n v="3.37"/>
    <n v="0.2286"/>
    <n v="0.2286"/>
    <m/>
  </r>
  <r>
    <x v="5"/>
    <s v="Kondygnacja 0"/>
    <m/>
    <x v="89"/>
    <n v="1"/>
    <n v="0.18"/>
    <n v="1.27"/>
    <m/>
    <n v="0.18"/>
    <n v="2.1"/>
    <n v="3.37"/>
    <n v="0.2286"/>
    <n v="0.2286"/>
    <m/>
  </r>
  <r>
    <x v="5"/>
    <s v="Kondygnacja 0"/>
    <m/>
    <x v="87"/>
    <n v="1.1499999999999999"/>
    <n v="0.18"/>
    <n v="1.27"/>
    <m/>
    <n v="0.20699999999999999"/>
    <n v="2.1"/>
    <n v="3.37"/>
    <n v="0.26289000000000001"/>
    <n v="0.26289000000000001"/>
    <m/>
  </r>
  <r>
    <x v="5"/>
    <s v="Kondygnacja 0"/>
    <m/>
    <x v="87"/>
    <n v="1.1499999999999999"/>
    <n v="0.18"/>
    <n v="1.27"/>
    <m/>
    <n v="0.20699999999999999"/>
    <n v="2.1"/>
    <n v="3.37"/>
    <n v="0.26289000000000001"/>
    <n v="0.26289000000000001"/>
    <m/>
  </r>
  <r>
    <x v="5"/>
    <s v="Kondygnacja 0"/>
    <m/>
    <x v="87"/>
    <n v="1.1499999999999999"/>
    <n v="0.18"/>
    <n v="1.27"/>
    <m/>
    <n v="0.20699999999999999"/>
    <n v="2.1"/>
    <n v="3.37"/>
    <n v="0.26289000000000001"/>
    <n v="0.26289000000000001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Kondygnacja 0"/>
    <n v="1"/>
    <s v="PŁ.ŻB.P gr. 20cm"/>
    <m/>
    <m/>
    <n v="0.20000000000000018"/>
    <m/>
    <n v="375.92"/>
    <n v="2.78"/>
    <n v="2.98"/>
    <n v="75.184000000000069"/>
    <n v="75.184000000000069"/>
    <m/>
  </r>
  <r>
    <x v="0"/>
    <s v="Kondygnacja 0"/>
    <n v="1"/>
    <s v="PŁ.ŻB.P gr. 25cm"/>
    <m/>
    <m/>
    <n v="0.25"/>
    <m/>
    <n v="621.04999999999995"/>
    <n v="3.12"/>
    <n v="3.37"/>
    <n v="155.26249999999999"/>
    <n v="155.26249999999999"/>
    <m/>
  </r>
  <r>
    <x v="0"/>
    <s v="Kondygnacja 0"/>
    <n v="1"/>
    <s v="PŁ.ŻB.P gr. 35cm"/>
    <m/>
    <m/>
    <n v="0.35000000000000009"/>
    <m/>
    <n v="150.08000000000001"/>
    <n v="3.02"/>
    <n v="3.37"/>
    <n v="52.52800000000002"/>
    <n v="52.52800000000002"/>
    <m/>
  </r>
  <r>
    <x v="0"/>
    <s v="Kondygnacja 0"/>
    <n v="1"/>
    <s v="PŁ.ŻB.P gr. 50cm"/>
    <m/>
    <m/>
    <n v="0.5"/>
    <m/>
    <n v="20.079999999999998"/>
    <n v="2.87"/>
    <n v="3.37"/>
    <n v="10.039999999999999"/>
    <n v="10.039999999999999"/>
    <m/>
  </r>
  <r>
    <x v="1"/>
    <s v="Kondygnacja 0"/>
    <n v="1"/>
    <s v="PŁ.ŻB.P-10"/>
    <n v="4.6500000000000004"/>
    <n v="1.29"/>
    <n v="0.14999999999999991"/>
    <m/>
    <n v="5.9985000000000008"/>
    <n v="2.7"/>
    <n v="2.85"/>
    <n v="0.89977499999999955"/>
    <n v="0.89977499999999955"/>
    <m/>
  </r>
  <r>
    <x v="1"/>
    <s v="Kondygnacja 0"/>
    <n v="1"/>
    <s v="PŁ.ŻB.P-09.1"/>
    <n v="5.7350000000000003"/>
    <n v="1.18"/>
    <n v="0.1899999999999995"/>
    <m/>
    <n v="6.7672999999999996"/>
    <n v="2.7"/>
    <n v="2.8899999999999997"/>
    <n v="1.2857869999999965"/>
    <n v="1.2857869999999965"/>
    <m/>
  </r>
  <r>
    <x v="1"/>
    <s v="Kondygnacja 0"/>
    <m/>
    <s v="PŁ.ŻB.P-09.2"/>
    <n v="9.56"/>
    <n v="1.3"/>
    <n v="0.1599999999999997"/>
    <m/>
    <n v="12.428000000000001"/>
    <n v="2.7"/>
    <n v="2.86"/>
    <n v="1.9884799999999965"/>
    <n v="1.9884799999999965"/>
    <m/>
  </r>
  <r>
    <x v="1"/>
    <s v="Kondygnacja 0"/>
    <n v="1"/>
    <s v="PŁ.ŻB.P-03.1"/>
    <n v="10.98"/>
    <n v="1.42"/>
    <n v="0.1899999999999995"/>
    <m/>
    <n v="15.5916"/>
    <n v="2.7"/>
    <n v="2.8899999999999997"/>
    <n v="2.9624039999999923"/>
    <n v="2.9624039999999923"/>
    <m/>
  </r>
  <r>
    <x v="1"/>
    <s v="Kondygnacja 0"/>
    <m/>
    <s v="PŁ.ŻB.P-03.2"/>
    <n v="5.75"/>
    <n v="1.18"/>
    <n v="0.1599999999999997"/>
    <m/>
    <n v="6.7849999999999993"/>
    <n v="2.7"/>
    <n v="2.86"/>
    <n v="1.0855999999999979"/>
    <n v="1.0855999999999979"/>
    <m/>
  </r>
  <r>
    <x v="1"/>
    <s v="Kondygnacja 0"/>
    <n v="1"/>
    <s v="PŁ.ŻB.P-04"/>
    <n v="11.02"/>
    <n v="1.42"/>
    <n v="0.1599999999999997"/>
    <m/>
    <n v="15.648399999999999"/>
    <n v="2.7"/>
    <n v="2.86"/>
    <n v="2.5037439999999949"/>
    <n v="2.5037439999999949"/>
    <m/>
  </r>
  <r>
    <x v="1"/>
    <s v="Kondygnacja 0"/>
    <n v="1"/>
    <s v="PŁ.ŻB.P-05"/>
    <n v="11.164999999999999"/>
    <n v="1.7050000000000001"/>
    <n v="0.1599999999999997"/>
    <m/>
    <n v="19.036324999999998"/>
    <n v="2.7"/>
    <n v="2.86"/>
    <n v="3.045811999999994"/>
    <n v="3.045811999999994"/>
    <m/>
  </r>
  <r>
    <x v="1"/>
    <s v="Kondygnacja 0"/>
    <n v="1"/>
    <s v="PŁ.ŻB.P-06"/>
    <n v="13.44"/>
    <n v="1.7050000000000001"/>
    <n v="0.1599999999999997"/>
    <m/>
    <n v="22.915199999999999"/>
    <n v="2.7"/>
    <n v="2.86"/>
    <n v="3.6664319999999928"/>
    <n v="3.6664319999999928"/>
    <m/>
  </r>
  <r>
    <x v="1"/>
    <s v="Kondygnacja 0"/>
    <n v="1"/>
    <s v="PŁ.ŻB.P-07"/>
    <n v="9.5150000000000006"/>
    <n v="1.7050000000000001"/>
    <n v="0.1599999999999997"/>
    <m/>
    <n v="16.223075000000001"/>
    <n v="2.7"/>
    <n v="2.86"/>
    <n v="2.5956919999999952"/>
    <n v="2.5956919999999952"/>
    <m/>
  </r>
  <r>
    <x v="1"/>
    <s v="Kondygnacja 0"/>
    <n v="1"/>
    <s v="PŁ.ŻB.P-08"/>
    <n v="8.7199999999999989"/>
    <n v="1.4"/>
    <n v="0.1599999999999997"/>
    <m/>
    <n v="12.207999999999998"/>
    <n v="2.7"/>
    <n v="2.86"/>
    <n v="1.9532799999999961"/>
    <n v="1.9532799999999961"/>
    <m/>
  </r>
  <r>
    <x v="2"/>
    <s v="Kondygnacja 0"/>
    <n v="9"/>
    <s v="PŁ.ŻB.N-05"/>
    <n v="1.72"/>
    <n v="1.34"/>
    <n v="0.16999999999999993"/>
    <m/>
    <n v="2.3048000000000002"/>
    <n v="3.19"/>
    <n v="3.36"/>
    <n v="0.39181599999999989"/>
    <n v="3.526343999999999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Kondygnacja +1"/>
    <x v="0"/>
    <m/>
    <n v="163.36000000000001"/>
    <n v="0.18"/>
    <n v="29.404800000000002"/>
    <n v="3.37"/>
    <n v="6.29"/>
    <n v="2.92"/>
    <n v="85.862015999999997"/>
    <n v="85.862015999999997"/>
    <m/>
    <n v="185"/>
  </r>
  <r>
    <x v="0"/>
    <s v="Kondygnacja +1"/>
    <x v="1"/>
    <m/>
    <n v="5.12"/>
    <n v="0.18"/>
    <n v="0.92159999999999997"/>
    <n v="3.37"/>
    <n v="6.29"/>
    <n v="2.92"/>
    <n v="2.6910719999999997"/>
    <n v="2.6910719999999997"/>
    <m/>
    <n v="93"/>
  </r>
  <r>
    <x v="0"/>
    <s v="Kondygnacja +1"/>
    <x v="2"/>
    <m/>
    <n v="31"/>
    <n v="0.18"/>
    <n v="5.58"/>
    <n v="3.37"/>
    <n v="6.29"/>
    <n v="2.92"/>
    <n v="16.293600000000001"/>
    <n v="16.293600000000001"/>
    <m/>
    <n v="32"/>
  </r>
  <r>
    <x v="0"/>
    <s v="Kondygnacja +2"/>
    <x v="1"/>
    <m/>
    <n v="44.72"/>
    <n v="0.18"/>
    <n v="8.0495999999999999"/>
    <n v="3.37"/>
    <n v="6.29"/>
    <n v="2.92"/>
    <n v="23.504832"/>
    <n v="23.504832"/>
    <m/>
    <m/>
  </r>
  <r>
    <x v="0"/>
    <s v="Kondygnacja +2"/>
    <x v="1"/>
    <m/>
    <n v="5.12"/>
    <n v="0.18"/>
    <n v="0.92159999999999997"/>
    <n v="3.37"/>
    <n v="6.29"/>
    <n v="2.92"/>
    <n v="2.6910719999999997"/>
    <n v="2.6910719999999997"/>
    <m/>
    <m/>
  </r>
  <r>
    <x v="0"/>
    <s v="Kondygnacja +3"/>
    <x v="1"/>
    <m/>
    <n v="15.14"/>
    <n v="0.18"/>
    <n v="2.7252000000000001"/>
    <n v="3.37"/>
    <n v="6.29"/>
    <n v="2.92"/>
    <n v="7.9575839999999998"/>
    <n v="7.9575839999999998"/>
    <m/>
    <m/>
  </r>
  <r>
    <x v="0"/>
    <s v="Kondygnacja +3"/>
    <x v="1"/>
    <m/>
    <n v="5.12"/>
    <n v="0.18"/>
    <n v="0.92159999999999997"/>
    <n v="3.37"/>
    <n v="6.29"/>
    <n v="2.92"/>
    <n v="2.6910719999999997"/>
    <n v="2.6910719999999997"/>
    <m/>
    <m/>
  </r>
  <r>
    <x v="0"/>
    <s v="Kondygnacja +4"/>
    <x v="1"/>
    <m/>
    <n v="15.14"/>
    <n v="0.18"/>
    <n v="2.7252000000000001"/>
    <n v="3.37"/>
    <n v="6.29"/>
    <n v="2.92"/>
    <n v="7.9575839999999998"/>
    <n v="7.9575839999999998"/>
    <m/>
    <m/>
  </r>
  <r>
    <x v="0"/>
    <s v="Kondygnacja +4"/>
    <x v="1"/>
    <m/>
    <n v="5.12"/>
    <n v="0.18"/>
    <n v="0.92159999999999997"/>
    <n v="3.37"/>
    <n v="6.29"/>
    <n v="2.92"/>
    <n v="2.6910719999999997"/>
    <n v="2.6910719999999997"/>
    <m/>
    <m/>
  </r>
  <r>
    <x v="1"/>
    <s v="Kondygnacja +2"/>
    <x v="3"/>
    <n v="16"/>
    <n v="0.18"/>
    <n v="0.18"/>
    <n v="3.2399999999999998E-2"/>
    <n v="6.47"/>
    <n v="9.39"/>
    <n v="2.9200000000000008"/>
    <n v="9.4608000000000025E-2"/>
    <n v="1.5137280000000004"/>
    <m/>
    <m/>
  </r>
  <r>
    <x v="1"/>
    <s v="Kondygnacja +3"/>
    <x v="3"/>
    <n v="23"/>
    <n v="0.18"/>
    <n v="0.18"/>
    <n v="3.2399999999999998E-2"/>
    <n v="9.57"/>
    <n v="12.49"/>
    <n v="2.92"/>
    <n v="9.4607999999999998E-2"/>
    <n v="2.1759840000000001"/>
    <m/>
    <m/>
  </r>
  <r>
    <x v="1"/>
    <s v="Kondygnacja +4"/>
    <x v="3"/>
    <n v="26"/>
    <n v="0.18"/>
    <n v="0.18"/>
    <n v="3.2399999999999998E-2"/>
    <n v="12.67"/>
    <n v="15.59"/>
    <n v="2.92"/>
    <n v="9.4607999999999998E-2"/>
    <n v="2.4598079999999998"/>
    <m/>
    <m/>
  </r>
  <r>
    <x v="1"/>
    <s v="Kondygnacja +1"/>
    <x v="4"/>
    <n v="18"/>
    <n v="0.18"/>
    <n v="0.18"/>
    <n v="3.2399999999999998E-2"/>
    <n v="3.37"/>
    <n v="6.29"/>
    <n v="2.92"/>
    <n v="9.4607999999999998E-2"/>
    <n v="1.702944"/>
    <m/>
    <s v="37 a nie 36"/>
  </r>
  <r>
    <x v="1"/>
    <s v="Kondygnacja +2"/>
    <x v="4"/>
    <n v="9"/>
    <n v="0.18"/>
    <n v="0.18"/>
    <n v="3.2399999999999998E-2"/>
    <n v="6.47"/>
    <n v="9.39"/>
    <n v="2.9200000000000008"/>
    <n v="9.4608000000000025E-2"/>
    <n v="0.85147200000000023"/>
    <m/>
    <m/>
  </r>
  <r>
    <x v="1"/>
    <s v="Kondygnacja +3"/>
    <x v="4"/>
    <n v="5"/>
    <n v="0.18"/>
    <n v="0.18"/>
    <n v="3.2399999999999998E-2"/>
    <n v="9.57"/>
    <n v="12.49"/>
    <n v="2.92"/>
    <n v="9.4607999999999998E-2"/>
    <n v="0.47304000000000002"/>
    <m/>
    <m/>
  </r>
  <r>
    <x v="1"/>
    <s v="Kondygnacja +4"/>
    <x v="4"/>
    <n v="4"/>
    <n v="0.18"/>
    <n v="0.18"/>
    <n v="3.2399999999999998E-2"/>
    <n v="12.67"/>
    <n v="15.59"/>
    <n v="2.92"/>
    <n v="9.4607999999999998E-2"/>
    <n v="0.37843199999999999"/>
    <m/>
    <m/>
  </r>
  <r>
    <x v="1"/>
    <s v="Kondygnacja +1"/>
    <x v="5"/>
    <n v="1"/>
    <n v="0.18"/>
    <n v="0.28999999999999998"/>
    <n v="5.2199999999999996E-2"/>
    <n v="3.37"/>
    <n v="6.29"/>
    <n v="2.92"/>
    <n v="0.15242399999999998"/>
    <n v="0.15242399999999998"/>
    <m/>
    <m/>
  </r>
  <r>
    <x v="1"/>
    <s v="Kondygnacja +2"/>
    <x v="6"/>
    <n v="1"/>
    <n v="0.18"/>
    <n v="0.18"/>
    <n v="3.2399999999999998E-2"/>
    <n v="6.47"/>
    <n v="9.39"/>
    <n v="2.9200000000000008"/>
    <n v="9.4608000000000025E-2"/>
    <n v="9.4608000000000025E-2"/>
    <m/>
    <m/>
  </r>
  <r>
    <x v="1"/>
    <s v="Kondygnacja +3"/>
    <x v="6"/>
    <n v="1"/>
    <n v="0.18"/>
    <n v="0.18"/>
    <n v="3.2399999999999998E-2"/>
    <n v="9.57"/>
    <n v="12.49"/>
    <n v="2.92"/>
    <n v="9.4607999999999998E-2"/>
    <n v="9.4607999999999998E-2"/>
    <m/>
    <m/>
  </r>
  <r>
    <x v="1"/>
    <s v="Kondygnacja +4"/>
    <x v="6"/>
    <n v="1"/>
    <n v="0.18"/>
    <n v="0.18"/>
    <n v="3.2399999999999998E-2"/>
    <n v="12.67"/>
    <n v="15.59"/>
    <n v="2.92"/>
    <n v="9.4607999999999998E-2"/>
    <n v="9.4607999999999998E-2"/>
    <m/>
    <m/>
  </r>
  <r>
    <x v="1"/>
    <s v="Kondygnacja +4"/>
    <x v="5"/>
    <n v="1"/>
    <n v="0.18"/>
    <n v="0.28999999999999998"/>
    <n v="5.2199999999999996E-2"/>
    <n v="12.67"/>
    <n v="15.59"/>
    <n v="2.92"/>
    <n v="0.15242399999999998"/>
    <n v="0.15242399999999998"/>
    <m/>
    <m/>
  </r>
  <r>
    <x v="1"/>
    <s v="Kondygnacja +1"/>
    <x v="7"/>
    <n v="1"/>
    <n v="0.18"/>
    <n v="0.35"/>
    <n v="6.3E-2"/>
    <n v="3.37"/>
    <n v="6.29"/>
    <n v="2.92"/>
    <n v="0.18395999999999998"/>
    <n v="0.18395999999999998"/>
    <m/>
    <m/>
  </r>
  <r>
    <x v="1"/>
    <s v="Kondygnacja +2"/>
    <x v="8"/>
    <n v="1"/>
    <n v="0.18"/>
    <n v="0.35"/>
    <n v="6.3E-2"/>
    <n v="6.47"/>
    <n v="9.39"/>
    <n v="2.9200000000000008"/>
    <n v="0.18396000000000004"/>
    <n v="0.18396000000000004"/>
    <m/>
    <m/>
  </r>
  <r>
    <x v="1"/>
    <s v="Kondygnacja +3"/>
    <x v="8"/>
    <n v="1"/>
    <n v="0.18"/>
    <n v="0.35"/>
    <n v="6.3E-2"/>
    <n v="9.57"/>
    <n v="12.49"/>
    <n v="2.92"/>
    <n v="0.18395999999999998"/>
    <n v="0.18395999999999998"/>
    <m/>
    <m/>
  </r>
  <r>
    <x v="1"/>
    <s v="Kondygnacja +4"/>
    <x v="8"/>
    <n v="1"/>
    <n v="0.18"/>
    <n v="0.35"/>
    <n v="6.3E-2"/>
    <n v="12.67"/>
    <n v="15.59"/>
    <n v="2.92"/>
    <n v="0.18395999999999998"/>
    <n v="0.18395999999999998"/>
    <m/>
    <m/>
  </r>
  <r>
    <x v="1"/>
    <s v="Kondygnacja +1"/>
    <x v="9"/>
    <n v="2"/>
    <n v="0.18"/>
    <n v="0.42"/>
    <n v="7.5600000000000001E-2"/>
    <n v="3.37"/>
    <n v="6.29"/>
    <n v="2.92"/>
    <n v="0.220752"/>
    <n v="0.44150400000000001"/>
    <m/>
    <m/>
  </r>
  <r>
    <x v="1"/>
    <s v="Kondygnacja +2"/>
    <x v="10"/>
    <n v="2"/>
    <n v="0.18"/>
    <n v="0.42"/>
    <n v="7.5600000000000001E-2"/>
    <n v="6.47"/>
    <n v="9.39"/>
    <n v="2.9200000000000008"/>
    <n v="0.22075200000000006"/>
    <n v="0.44150400000000012"/>
    <m/>
    <m/>
  </r>
  <r>
    <x v="1"/>
    <s v="Kondygnacja +3"/>
    <x v="10"/>
    <n v="2"/>
    <n v="0.18"/>
    <n v="0.42"/>
    <n v="7.5600000000000001E-2"/>
    <n v="9.57"/>
    <n v="12.49"/>
    <n v="2.92"/>
    <n v="0.220752"/>
    <n v="0.44150400000000001"/>
    <m/>
    <m/>
  </r>
  <r>
    <x v="1"/>
    <s v="Kondygnacja +4"/>
    <x v="10"/>
    <n v="3"/>
    <n v="0.18"/>
    <n v="0.42"/>
    <n v="7.5600000000000001E-2"/>
    <n v="12.67"/>
    <n v="15.59"/>
    <n v="2.92"/>
    <n v="0.220752"/>
    <n v="0.66225599999999996"/>
    <m/>
    <m/>
  </r>
  <r>
    <x v="1"/>
    <s v="Kondygnacja +3"/>
    <x v="9"/>
    <n v="1"/>
    <n v="0.18"/>
    <n v="0.42"/>
    <n v="7.5600000000000001E-2"/>
    <n v="9.57"/>
    <n v="12.49"/>
    <n v="2.92"/>
    <n v="0.220752"/>
    <n v="0.220752"/>
    <m/>
    <m/>
  </r>
  <r>
    <x v="1"/>
    <s v="Kondygnacja +1"/>
    <x v="11"/>
    <n v="1"/>
    <n v="0.18"/>
    <n v="0.57999999999999996"/>
    <n v="0.10439999999999999"/>
    <n v="3.37"/>
    <n v="5.79"/>
    <n v="2.42"/>
    <n v="0.25264799999999998"/>
    <n v="0.25264799999999998"/>
    <s v="Wysokość liczona do spodu wspornika pod stropem"/>
    <m/>
  </r>
  <r>
    <x v="1"/>
    <s v="Kondygnacja +2"/>
    <x v="11"/>
    <n v="1"/>
    <n v="0.18"/>
    <n v="0.57999999999999996"/>
    <n v="0.10439999999999999"/>
    <n v="6.47"/>
    <n v="8.89"/>
    <n v="2.4200000000000008"/>
    <n v="0.25264800000000009"/>
    <n v="0.25264800000000009"/>
    <s v="Nieodpowiedni opis słupa na rzucie przy wymiarach 18x58; Wysokość liczona do spodu wspornika pod stropem;"/>
    <m/>
  </r>
  <r>
    <x v="1"/>
    <s v="Kondygnacja +3"/>
    <x v="11"/>
    <n v="1"/>
    <n v="0.18"/>
    <n v="0.57999999999999996"/>
    <n v="0.10439999999999999"/>
    <n v="9.57"/>
    <n v="11.99"/>
    <n v="2.42"/>
    <n v="0.25264799999999998"/>
    <n v="0.25264799999999998"/>
    <s v="Nieodpowiedni opis słupa na rzucie przy wymiarach 18x58; Wysokość liczona do spodu wspornika pod stropem;"/>
    <m/>
  </r>
  <r>
    <x v="1"/>
    <s v="Kondygnacja +4"/>
    <x v="11"/>
    <n v="1"/>
    <n v="0.18"/>
    <n v="0.57999999999999996"/>
    <n v="0.10439999999999999"/>
    <n v="12.67"/>
    <n v="15.09"/>
    <n v="2.42"/>
    <n v="0.25264799999999998"/>
    <n v="0.25264799999999998"/>
    <s v="Nieodpowiedni opis słupa na rzucie przy wymiarach 18x58; Wysokość liczona do spodu wspornika pod stropem;"/>
    <m/>
  </r>
  <r>
    <x v="1"/>
    <s v="Kondygnacja +2"/>
    <x v="12"/>
    <n v="1"/>
    <n v="0.18"/>
    <n v="0.37"/>
    <n v="6.6599999999999993E-2"/>
    <n v="6.47"/>
    <n v="9.39"/>
    <n v="2.9200000000000008"/>
    <n v="0.19447200000000003"/>
    <n v="0.19447200000000003"/>
    <m/>
    <m/>
  </r>
  <r>
    <x v="1"/>
    <s v="Kondygnacja +3"/>
    <x v="12"/>
    <n v="1"/>
    <n v="0.18"/>
    <n v="0.37"/>
    <n v="6.6599999999999993E-2"/>
    <n v="9.57"/>
    <n v="12.49"/>
    <n v="2.92"/>
    <n v="0.19447199999999998"/>
    <n v="0.19447199999999998"/>
    <m/>
    <m/>
  </r>
  <r>
    <x v="1"/>
    <s v="Kondygnacja +4"/>
    <x v="12"/>
    <n v="1"/>
    <n v="0.18"/>
    <n v="0.37"/>
    <n v="6.6599999999999993E-2"/>
    <n v="12.67"/>
    <n v="15.59"/>
    <n v="2.92"/>
    <n v="0.19447199999999998"/>
    <n v="0.19447199999999998"/>
    <m/>
    <m/>
  </r>
  <r>
    <x v="1"/>
    <s v="Kondygnacja +1"/>
    <x v="13"/>
    <n v="1"/>
    <n v="0.18"/>
    <n v="0.37"/>
    <n v="6.6599999999999993E-2"/>
    <n v="3.37"/>
    <n v="6.29"/>
    <n v="2.92"/>
    <n v="0.19447199999999998"/>
    <n v="0.19447199999999998"/>
    <m/>
    <m/>
  </r>
  <r>
    <x v="1"/>
    <s v="Kondygnacja +1"/>
    <x v="14"/>
    <n v="2"/>
    <n v="0.18"/>
    <n v="0.83"/>
    <n v="0.14939999999999998"/>
    <n v="3.37"/>
    <n v="6.29"/>
    <n v="2.92"/>
    <n v="0.43624799999999991"/>
    <n v="0.87249599999999983"/>
    <m/>
    <m/>
  </r>
  <r>
    <x v="1"/>
    <s v="Kondygnacja +1"/>
    <x v="15"/>
    <n v="1"/>
    <n v="0.18"/>
    <n v="0.57999999999999996"/>
    <n v="0.10439999999999999"/>
    <n v="3.37"/>
    <n v="6.29"/>
    <n v="2.92"/>
    <n v="0.30484799999999995"/>
    <n v="0.30484799999999995"/>
    <m/>
    <m/>
  </r>
  <r>
    <x v="1"/>
    <s v="Kondygnacja +1"/>
    <x v="16"/>
    <n v="6"/>
    <n v="0.18"/>
    <n v="0.36"/>
    <n v="6.4799999999999996E-2"/>
    <n v="3.37"/>
    <n v="6.29"/>
    <n v="2.92"/>
    <n v="0.189216"/>
    <n v="1.1352959999999999"/>
    <m/>
    <m/>
  </r>
  <r>
    <x v="1"/>
    <s v="Kondygnacja +2"/>
    <x v="17"/>
    <n v="6"/>
    <n v="0.18"/>
    <n v="0.4"/>
    <n v="7.1999999999999995E-2"/>
    <n v="6.47"/>
    <n v="9.39"/>
    <n v="2.9200000000000008"/>
    <n v="0.21024000000000004"/>
    <n v="1.2614400000000003"/>
    <m/>
    <s v="18 nie 12"/>
  </r>
  <r>
    <x v="1"/>
    <s v="Kondygnacja +3"/>
    <x v="17"/>
    <n v="6"/>
    <n v="0.18"/>
    <n v="0.4"/>
    <n v="7.1999999999999995E-2"/>
    <n v="9.57"/>
    <n v="12.49"/>
    <n v="2.92"/>
    <n v="0.21023999999999998"/>
    <n v="1.2614399999999999"/>
    <m/>
    <m/>
  </r>
  <r>
    <x v="1"/>
    <s v="Kondygnacja +4"/>
    <x v="18"/>
    <n v="6"/>
    <n v="0.18"/>
    <n v="0.4"/>
    <n v="7.1999999999999995E-2"/>
    <n v="12.67"/>
    <n v="15.59"/>
    <n v="2.92"/>
    <n v="0.21023999999999998"/>
    <n v="1.2614399999999999"/>
    <m/>
    <s v="0 nie 6"/>
  </r>
  <r>
    <x v="1"/>
    <s v="Kondygnacja +1"/>
    <x v="19"/>
    <n v="3"/>
    <n v="0.18"/>
    <n v="0.4"/>
    <n v="7.1999999999999995E-2"/>
    <n v="3.37"/>
    <n v="6.29"/>
    <n v="2.92"/>
    <n v="0.21023999999999998"/>
    <n v="0.63071999999999995"/>
    <m/>
    <m/>
  </r>
  <r>
    <x v="1"/>
    <s v="Kondygnacja +2"/>
    <x v="20"/>
    <n v="3"/>
    <n v="0.18"/>
    <n v="0.4"/>
    <n v="7.1999999999999995E-2"/>
    <n v="6.47"/>
    <n v="9.39"/>
    <n v="2.9200000000000008"/>
    <n v="0.21024000000000004"/>
    <n v="0.63072000000000017"/>
    <m/>
    <s v="12 nie 7"/>
  </r>
  <r>
    <x v="1"/>
    <s v="Kondygnacja +3"/>
    <x v="20"/>
    <n v="3"/>
    <n v="0.18"/>
    <n v="0.4"/>
    <n v="7.1999999999999995E-2"/>
    <n v="9.57"/>
    <n v="12.49"/>
    <n v="2.92"/>
    <n v="0.21023999999999998"/>
    <n v="0.63071999999999995"/>
    <m/>
    <m/>
  </r>
  <r>
    <x v="1"/>
    <s v="Kondygnacja +4"/>
    <x v="20"/>
    <n v="1"/>
    <n v="0.18"/>
    <n v="0.4"/>
    <n v="7.1999999999999995E-2"/>
    <n v="12.67"/>
    <n v="15.59"/>
    <n v="2.92"/>
    <n v="0.21023999999999998"/>
    <n v="0.21023999999999998"/>
    <m/>
    <m/>
  </r>
  <r>
    <x v="1"/>
    <s v="Kondygnacja +4"/>
    <x v="21"/>
    <n v="2"/>
    <n v="0.18"/>
    <n v="0.36"/>
    <n v="6.4799999999999996E-2"/>
    <n v="12.67"/>
    <n v="15.59"/>
    <n v="2.92"/>
    <n v="0.189216"/>
    <n v="0.37843199999999999"/>
    <s v="Brak rysunku zbrojeniowego"/>
    <s v="0 nie 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x v="0"/>
    <n v="1"/>
    <s v="BŻ.N-01"/>
    <n v="3.42"/>
    <n v="0.18"/>
    <n v="0.21999999999999975"/>
    <n v="0.61559999999999993"/>
    <n v="6.07"/>
    <n v="6.29"/>
    <n v="0.13543199999999983"/>
    <n v="0.13543199999999983"/>
    <m/>
    <m/>
  </r>
  <r>
    <x v="0"/>
    <x v="1"/>
    <n v="1"/>
    <s v="BŻ.N-01"/>
    <n v="3.42"/>
    <n v="0.18"/>
    <n v="0.22000000000000064"/>
    <n v="0.61559999999999993"/>
    <n v="9.17"/>
    <n v="9.39"/>
    <n v="0.13543200000000039"/>
    <n v="0.13543200000000039"/>
    <m/>
    <m/>
  </r>
  <r>
    <x v="0"/>
    <x v="2"/>
    <n v="1"/>
    <s v="BŻ.N-01"/>
    <n v="3.42"/>
    <n v="0.18"/>
    <n v="0.22000000000000064"/>
    <n v="0.61559999999999993"/>
    <n v="12.27"/>
    <n v="12.49"/>
    <n v="0.13543200000000039"/>
    <n v="0.13543200000000039"/>
    <m/>
    <m/>
  </r>
  <r>
    <x v="0"/>
    <x v="3"/>
    <n v="1"/>
    <s v="BŻ.N-01"/>
    <n v="3.42"/>
    <n v="0.18"/>
    <n v="0.22000000000000064"/>
    <n v="0.61559999999999993"/>
    <n v="15.37"/>
    <n v="15.59"/>
    <n v="0.13543200000000039"/>
    <n v="0.13543200000000039"/>
    <m/>
    <m/>
  </r>
  <r>
    <x v="0"/>
    <x v="0"/>
    <n v="1"/>
    <s v="BŻ.N-02"/>
    <n v="4.0949999999999998"/>
    <n v="0.18"/>
    <n v="0.21999999999999975"/>
    <n v="0.73709999999999998"/>
    <n v="6.07"/>
    <n v="6.29"/>
    <n v="0.16216199999999981"/>
    <n v="0.16216199999999981"/>
    <m/>
    <m/>
  </r>
  <r>
    <x v="0"/>
    <x v="1"/>
    <n v="1"/>
    <s v="BŻ.N-02"/>
    <n v="4.0949999999999998"/>
    <n v="0.18"/>
    <n v="0.22000000000000064"/>
    <n v="0.73709999999999998"/>
    <n v="9.17"/>
    <n v="9.39"/>
    <n v="0.16216200000000047"/>
    <n v="0.16216200000000047"/>
    <m/>
    <m/>
  </r>
  <r>
    <x v="0"/>
    <x v="2"/>
    <n v="1"/>
    <s v="BŻ.N-02"/>
    <n v="4.0949999999999998"/>
    <n v="0.18"/>
    <n v="0.22000000000000064"/>
    <n v="0.73709999999999998"/>
    <n v="12.27"/>
    <n v="12.49"/>
    <n v="0.16216200000000047"/>
    <n v="0.16216200000000047"/>
    <m/>
    <m/>
  </r>
  <r>
    <x v="0"/>
    <x v="3"/>
    <n v="1"/>
    <s v="BŻ.N-02"/>
    <n v="4.0949999999999998"/>
    <n v="0.18"/>
    <n v="0.22000000000000064"/>
    <n v="0.73709999999999998"/>
    <n v="15.37"/>
    <n v="15.59"/>
    <n v="0.16216200000000047"/>
    <n v="0.16216200000000047"/>
    <m/>
    <m/>
  </r>
  <r>
    <x v="0"/>
    <x v="0"/>
    <n v="1"/>
    <s v="BŻ.N-03"/>
    <n v="0.98499999999999999"/>
    <n v="0.18"/>
    <n v="0.16999999999999993"/>
    <n v="0.17729999999999999"/>
    <n v="6.12"/>
    <n v="6.29"/>
    <n v="3.0140999999999984E-2"/>
    <n v="3.0140999999999984E-2"/>
    <m/>
    <m/>
  </r>
  <r>
    <x v="0"/>
    <x v="1"/>
    <n v="1"/>
    <s v="BŻ.N-03"/>
    <n v="0.98499999999999999"/>
    <n v="0.18"/>
    <n v="0.34999999999999964"/>
    <n v="0.17729999999999999"/>
    <n v="9.2200000000000006"/>
    <n v="9.57"/>
    <n v="6.205499999999993E-2"/>
    <n v="6.205499999999993E-2"/>
    <m/>
    <m/>
  </r>
  <r>
    <x v="0"/>
    <x v="2"/>
    <n v="1"/>
    <s v="BŻ.N-03"/>
    <n v="0.98499999999999999"/>
    <n v="0.18"/>
    <n v="0.34999999999999964"/>
    <n v="0.17729999999999999"/>
    <n v="12.32"/>
    <n v="12.67"/>
    <n v="6.205499999999993E-2"/>
    <n v="6.205499999999993E-2"/>
    <m/>
    <m/>
  </r>
  <r>
    <x v="0"/>
    <x v="3"/>
    <n v="1"/>
    <s v="BŻ.N-03"/>
    <n v="0.98499999999999999"/>
    <n v="0.18"/>
    <n v="0.16999999999999993"/>
    <n v="0.17729999999999999"/>
    <n v="15.42"/>
    <n v="15.59"/>
    <n v="3.0140999999999984E-2"/>
    <n v="3.0140999999999984E-2"/>
    <m/>
    <m/>
  </r>
  <r>
    <x v="0"/>
    <x v="0"/>
    <n v="2"/>
    <s v="BŻ.N-04"/>
    <n v="1.97"/>
    <n v="0.18"/>
    <n v="0.16999999999999993"/>
    <n v="0.35459999999999997"/>
    <n v="6.12"/>
    <n v="6.29"/>
    <n v="6.0281999999999968E-2"/>
    <n v="0.12056399999999994"/>
    <s v="Inna długość na rzucie niż na rys. zbrojarskim"/>
    <m/>
  </r>
  <r>
    <x v="0"/>
    <x v="0"/>
    <n v="1"/>
    <s v="BŻ.N-04"/>
    <n v="2.02"/>
    <n v="0.18"/>
    <n v="0.16999999999999993"/>
    <n v="0.36359999999999998"/>
    <n v="6.12"/>
    <n v="6.29"/>
    <n v="6.1811999999999971E-2"/>
    <n v="6.1811999999999971E-2"/>
    <m/>
    <m/>
  </r>
  <r>
    <x v="0"/>
    <x v="1"/>
    <n v="2"/>
    <s v="BŻ.N-04"/>
    <n v="1.97"/>
    <n v="0.18"/>
    <n v="0.16999999999999993"/>
    <n v="0.35459999999999997"/>
    <n v="9.2200000000000006"/>
    <n v="9.39"/>
    <n v="6.0281999999999968E-2"/>
    <n v="0.12056399999999994"/>
    <s v="Inna długość na rzucie niż na rys. zbrojarskim"/>
    <m/>
  </r>
  <r>
    <x v="0"/>
    <x v="1"/>
    <n v="1"/>
    <s v="BŻ.N-04"/>
    <n v="2.02"/>
    <n v="0.18"/>
    <n v="0.16999999999999993"/>
    <n v="0.36359999999999998"/>
    <n v="9.2200000000000006"/>
    <n v="9.39"/>
    <n v="6.1811999999999971E-2"/>
    <n v="6.1811999999999971E-2"/>
    <m/>
    <m/>
  </r>
  <r>
    <x v="0"/>
    <x v="2"/>
    <n v="2"/>
    <s v="BŻ.N-04"/>
    <n v="1.97"/>
    <n v="0.18"/>
    <n v="0.16999999999999993"/>
    <n v="0.35459999999999997"/>
    <n v="12.32"/>
    <n v="12.49"/>
    <n v="6.0281999999999968E-2"/>
    <n v="0.12056399999999994"/>
    <s v="Inna długość na rzucie niż na rys. zbrojarskim"/>
    <m/>
  </r>
  <r>
    <x v="0"/>
    <x v="2"/>
    <n v="1"/>
    <s v="BŻ.N-04"/>
    <n v="2.02"/>
    <n v="0.18"/>
    <n v="0.16999999999999993"/>
    <n v="0.36359999999999998"/>
    <n v="12.32"/>
    <n v="12.49"/>
    <n v="6.1811999999999971E-2"/>
    <n v="6.1811999999999971E-2"/>
    <m/>
    <m/>
  </r>
  <r>
    <x v="0"/>
    <x v="3"/>
    <n v="2"/>
    <s v="BŻ.N-04"/>
    <n v="1.97"/>
    <n v="0.18"/>
    <n v="0.16999999999999993"/>
    <n v="0.35459999999999997"/>
    <n v="15.42"/>
    <n v="15.59"/>
    <n v="6.0281999999999968E-2"/>
    <n v="0.12056399999999994"/>
    <s v="Inna długość na rzucie niż na rys. zbrojarskim"/>
    <m/>
  </r>
  <r>
    <x v="0"/>
    <x v="3"/>
    <n v="1"/>
    <s v="BŻ.N-04"/>
    <n v="2.02"/>
    <n v="0.18"/>
    <n v="0.16999999999999993"/>
    <n v="0.36359999999999998"/>
    <n v="15.42"/>
    <n v="15.59"/>
    <n v="6.1811999999999971E-2"/>
    <n v="6.1811999999999971E-2"/>
    <m/>
    <m/>
  </r>
  <r>
    <x v="0"/>
    <x v="0"/>
    <n v="1"/>
    <s v="BŻ.N-05"/>
    <n v="1.43"/>
    <n v="0.18"/>
    <n v="0.16999999999999993"/>
    <n v="0.25739999999999996"/>
    <n v="6.12"/>
    <n v="6.29"/>
    <n v="4.3757999999999977E-2"/>
    <n v="4.3757999999999977E-2"/>
    <m/>
    <m/>
  </r>
  <r>
    <x v="0"/>
    <x v="1"/>
    <n v="1"/>
    <s v="BŻ.N-05"/>
    <n v="1.43"/>
    <n v="0.18"/>
    <n v="0.34999999999999964"/>
    <n v="0.25739999999999996"/>
    <n v="9.2200000000000006"/>
    <n v="9.57"/>
    <n v="9.0089999999999892E-2"/>
    <n v="9.0089999999999892E-2"/>
    <m/>
    <m/>
  </r>
  <r>
    <x v="0"/>
    <x v="2"/>
    <n v="1"/>
    <s v="BŻ.N-05"/>
    <n v="1.43"/>
    <n v="0.18"/>
    <n v="0.34999999999999964"/>
    <n v="0.25739999999999996"/>
    <n v="12.32"/>
    <n v="12.67"/>
    <n v="9.0089999999999892E-2"/>
    <n v="9.0089999999999892E-2"/>
    <m/>
    <m/>
  </r>
  <r>
    <x v="0"/>
    <x v="3"/>
    <n v="1"/>
    <s v="BŻ.N-05"/>
    <n v="1.43"/>
    <n v="0.18"/>
    <n v="0.16999999999999993"/>
    <n v="0.25739999999999996"/>
    <n v="15.42"/>
    <n v="15.59"/>
    <n v="4.3757999999999977E-2"/>
    <n v="4.3757999999999977E-2"/>
    <m/>
    <m/>
  </r>
  <r>
    <x v="0"/>
    <x v="0"/>
    <n v="1"/>
    <s v="BŻ.N-06"/>
    <n v="2.25"/>
    <n v="0.18"/>
    <n v="0.5"/>
    <n v="0.40499999999999997"/>
    <n v="5.79"/>
    <n v="6.29"/>
    <n v="0.20249999999999999"/>
    <n v="0.20249999999999999"/>
    <m/>
    <m/>
  </r>
  <r>
    <x v="0"/>
    <x v="1"/>
    <n v="1"/>
    <s v="BŻ.N-06"/>
    <n v="2.25"/>
    <n v="0.18"/>
    <n v="0.5"/>
    <n v="0.40499999999999997"/>
    <n v="8.89"/>
    <n v="9.39"/>
    <n v="0.20249999999999999"/>
    <n v="0.20249999999999999"/>
    <m/>
    <m/>
  </r>
  <r>
    <x v="0"/>
    <x v="2"/>
    <n v="1"/>
    <s v="BŻ.N-06"/>
    <n v="2.25"/>
    <n v="0.18"/>
    <n v="0.5"/>
    <n v="0.40499999999999997"/>
    <n v="11.99"/>
    <n v="12.49"/>
    <n v="0.20249999999999999"/>
    <n v="0.20249999999999999"/>
    <m/>
    <m/>
  </r>
  <r>
    <x v="0"/>
    <x v="3"/>
    <n v="1"/>
    <s v="BŻ.N-06"/>
    <n v="2.25"/>
    <n v="0.18"/>
    <n v="0.5"/>
    <n v="0.40499999999999997"/>
    <n v="15.09"/>
    <n v="15.59"/>
    <n v="0.20249999999999999"/>
    <n v="0.20249999999999999"/>
    <m/>
    <m/>
  </r>
  <r>
    <x v="0"/>
    <x v="0"/>
    <n v="1"/>
    <s v="BŻ.N-09"/>
    <n v="1.23"/>
    <n v="0.18"/>
    <n v="0.16999999999999993"/>
    <n v="0.22139999999999999"/>
    <n v="6.12"/>
    <n v="6.29"/>
    <n v="3.7637999999999984E-2"/>
    <n v="3.7637999999999984E-2"/>
    <m/>
    <m/>
  </r>
  <r>
    <x v="0"/>
    <x v="0"/>
    <n v="1"/>
    <s v="BŻ.N-09"/>
    <n v="1.29"/>
    <n v="0.18"/>
    <n v="0.16999999999999993"/>
    <n v="0.23219999999999999"/>
    <n v="6.12"/>
    <n v="6.29"/>
    <n v="3.9473999999999981E-2"/>
    <n v="3.9473999999999981E-2"/>
    <m/>
    <m/>
  </r>
  <r>
    <x v="0"/>
    <x v="1"/>
    <n v="1"/>
    <s v="BŻ.N-09"/>
    <n v="1.23"/>
    <n v="0.18"/>
    <n v="0.16999999999999993"/>
    <n v="0.22139999999999999"/>
    <n v="9.2200000000000006"/>
    <n v="9.39"/>
    <n v="3.7637999999999984E-2"/>
    <n v="3.7637999999999984E-2"/>
    <m/>
    <m/>
  </r>
  <r>
    <x v="0"/>
    <x v="1"/>
    <n v="1"/>
    <s v="BŻ.N-09"/>
    <n v="1.29"/>
    <n v="0.18"/>
    <n v="0.16999999999999993"/>
    <n v="0.23219999999999999"/>
    <n v="9.2200000000000006"/>
    <n v="9.39"/>
    <n v="3.9473999999999981E-2"/>
    <n v="3.9473999999999981E-2"/>
    <m/>
    <m/>
  </r>
  <r>
    <x v="0"/>
    <x v="2"/>
    <n v="1"/>
    <s v="BŻ.N-09"/>
    <n v="1.23"/>
    <n v="0.18"/>
    <n v="0.16999999999999993"/>
    <n v="0.22139999999999999"/>
    <n v="12.32"/>
    <n v="12.49"/>
    <n v="3.7637999999999984E-2"/>
    <n v="3.7637999999999984E-2"/>
    <m/>
    <m/>
  </r>
  <r>
    <x v="0"/>
    <x v="2"/>
    <n v="1"/>
    <s v="BŻ.N-09"/>
    <n v="1.29"/>
    <n v="0.18"/>
    <n v="0.16999999999999993"/>
    <n v="0.23219999999999999"/>
    <n v="12.32"/>
    <n v="12.49"/>
    <n v="3.9473999999999981E-2"/>
    <n v="3.9473999999999981E-2"/>
    <m/>
    <m/>
  </r>
  <r>
    <x v="0"/>
    <x v="3"/>
    <n v="1"/>
    <s v="BŻ.N-09"/>
    <n v="1.23"/>
    <n v="0.18"/>
    <n v="0.16999999999999993"/>
    <n v="0.22139999999999999"/>
    <n v="15.42"/>
    <n v="15.59"/>
    <n v="3.7637999999999984E-2"/>
    <n v="3.7637999999999984E-2"/>
    <m/>
    <m/>
  </r>
  <r>
    <x v="0"/>
    <x v="3"/>
    <n v="1"/>
    <s v="BŻ.N-09"/>
    <n v="1.29"/>
    <n v="0.18"/>
    <n v="0.16999999999999993"/>
    <n v="0.23219999999999999"/>
    <n v="15.42"/>
    <n v="15.59"/>
    <n v="3.9473999999999981E-2"/>
    <n v="3.9473999999999981E-2"/>
    <m/>
    <m/>
  </r>
  <r>
    <x v="0"/>
    <x v="0"/>
    <n v="3"/>
    <s v="BŻ.N-SCH"/>
    <n v="2.62"/>
    <n v="0.35"/>
    <n v="0.29999999999999982"/>
    <n v="0.91699999999999993"/>
    <n v="5.99"/>
    <n v="6.29"/>
    <n v="0.27509999999999979"/>
    <n v="0.82529999999999937"/>
    <m/>
    <m/>
  </r>
  <r>
    <x v="0"/>
    <x v="1"/>
    <n v="3"/>
    <s v="BŻ.N-SCH"/>
    <n v="2.62"/>
    <n v="0.35"/>
    <n v="0.30000000000000071"/>
    <n v="0.91699999999999993"/>
    <n v="9.09"/>
    <n v="9.39"/>
    <n v="0.27510000000000062"/>
    <n v="0.82530000000000192"/>
    <m/>
    <m/>
  </r>
  <r>
    <x v="0"/>
    <x v="2"/>
    <n v="3"/>
    <s v="BŻ.N-SCH"/>
    <n v="2.62"/>
    <n v="0.35"/>
    <n v="0.30000000000000071"/>
    <n v="0.91699999999999993"/>
    <n v="12.19"/>
    <n v="12.49"/>
    <n v="0.27510000000000062"/>
    <n v="0.82530000000000192"/>
    <m/>
    <m/>
  </r>
  <r>
    <x v="1"/>
    <x v="0"/>
    <n v="1"/>
    <s v="WSP.N-01"/>
    <n v="2.04"/>
    <n v="0.18"/>
    <n v="0.5"/>
    <n v="0.36719999999999997"/>
    <n v="5.79"/>
    <n v="6.29"/>
    <n v="0.18359999999999999"/>
    <n v="0.18359999999999999"/>
    <m/>
    <m/>
  </r>
  <r>
    <x v="1"/>
    <x v="1"/>
    <n v="1"/>
    <s v="WSP.N-01"/>
    <n v="2.04"/>
    <n v="0.18"/>
    <n v="0.5"/>
    <n v="0.36719999999999997"/>
    <n v="8.89"/>
    <n v="9.39"/>
    <n v="0.18359999999999999"/>
    <n v="0.18359999999999999"/>
    <m/>
    <m/>
  </r>
  <r>
    <x v="1"/>
    <x v="2"/>
    <n v="1"/>
    <s v="WSP.N-01"/>
    <n v="2.04"/>
    <n v="0.18"/>
    <n v="0.5"/>
    <n v="0.36719999999999997"/>
    <n v="11.99"/>
    <n v="12.49"/>
    <n v="0.18359999999999999"/>
    <n v="0.18359999999999999"/>
    <m/>
    <m/>
  </r>
  <r>
    <x v="1"/>
    <x v="3"/>
    <n v="1"/>
    <s v="WSP.N-01"/>
    <n v="2.04"/>
    <n v="0.18"/>
    <n v="0.5"/>
    <n v="0.36719999999999997"/>
    <n v="15.09"/>
    <n v="15.59"/>
    <n v="0.18359999999999999"/>
    <n v="0.18359999999999999"/>
    <m/>
    <m/>
  </r>
  <r>
    <x v="2"/>
    <x v="1"/>
    <m/>
    <s v="Wi-N.01"/>
    <n v="64.180000000000007"/>
    <n v="0.18"/>
    <n v="0.5"/>
    <n v="11.5524"/>
    <n v="8.89"/>
    <n v="9.39"/>
    <n v="5.7762000000000002"/>
    <n v="5.7762000000000002"/>
    <m/>
    <m/>
  </r>
  <r>
    <x v="2"/>
    <x v="1"/>
    <n v="2"/>
    <s v="Wi-N.01"/>
    <n v="0.63"/>
    <n v="0.18"/>
    <n v="0.5"/>
    <n v="0.1134"/>
    <n v="8.89"/>
    <n v="9.39"/>
    <n v="5.67E-2"/>
    <n v="0.1134"/>
    <s v="Nad otworami zewnętrznymi"/>
    <m/>
  </r>
  <r>
    <x v="2"/>
    <x v="1"/>
    <n v="10"/>
    <s v="Wi-N.01"/>
    <n v="0.93"/>
    <n v="0.18"/>
    <n v="0.5"/>
    <n v="0.16739999999999999"/>
    <n v="8.89"/>
    <n v="9.39"/>
    <n v="8.3699999999999997E-2"/>
    <n v="0.83699999999999997"/>
    <s v="Nad otworami zewnętrznymi"/>
    <m/>
  </r>
  <r>
    <x v="2"/>
    <x v="1"/>
    <n v="1"/>
    <s v="Wi-N.01"/>
    <n v="1.42"/>
    <n v="0.18"/>
    <n v="0.5"/>
    <n v="0.25559999999999999"/>
    <n v="8.89"/>
    <n v="9.39"/>
    <n v="0.1278"/>
    <n v="0.1278"/>
    <s v="Nad otworami zewnętrznymi"/>
    <m/>
  </r>
  <r>
    <x v="2"/>
    <x v="1"/>
    <n v="13"/>
    <s v="Wi-N.01"/>
    <n v="1.43"/>
    <n v="0.18"/>
    <n v="0.5"/>
    <n v="0.25739999999999996"/>
    <n v="8.89"/>
    <n v="9.39"/>
    <n v="0.12869999999999998"/>
    <n v="1.6730999999999998"/>
    <s v="Nad otworami zewnętrznymi"/>
    <m/>
  </r>
  <r>
    <x v="2"/>
    <x v="1"/>
    <n v="2"/>
    <s v="Wi-N.01"/>
    <n v="1.63"/>
    <n v="0.18"/>
    <n v="0.5"/>
    <n v="0.29339999999999999"/>
    <n v="8.89"/>
    <n v="9.39"/>
    <n v="0.1467"/>
    <n v="0.29339999999999999"/>
    <s v="Nad otworami zewnętrznymi"/>
    <m/>
  </r>
  <r>
    <x v="2"/>
    <x v="1"/>
    <n v="1"/>
    <s v="Wi-N.01"/>
    <n v="1.82"/>
    <n v="0.18"/>
    <n v="0.5"/>
    <n v="0.3276"/>
    <n v="8.89"/>
    <n v="9.39"/>
    <n v="0.1638"/>
    <n v="0.1638"/>
    <s v="Nad otworami zewnętrznymi"/>
    <m/>
  </r>
  <r>
    <x v="2"/>
    <x v="1"/>
    <n v="6"/>
    <s v="Wi-N.01"/>
    <n v="1.83"/>
    <n v="0.18"/>
    <n v="0.5"/>
    <n v="0.32940000000000003"/>
    <n v="8.89"/>
    <n v="9.39"/>
    <n v="0.16470000000000001"/>
    <n v="0.98820000000000008"/>
    <s v="Nad otworami zewnętrznymi"/>
    <m/>
  </r>
  <r>
    <x v="2"/>
    <x v="1"/>
    <n v="1"/>
    <s v="Wi-N.01"/>
    <n v="2.0299999999999998"/>
    <n v="0.18"/>
    <n v="0.5"/>
    <n v="0.36539999999999995"/>
    <n v="8.89"/>
    <n v="9.39"/>
    <n v="0.18269999999999997"/>
    <n v="0.18269999999999997"/>
    <s v="Nad otworami zewnętrznymi"/>
    <m/>
  </r>
  <r>
    <x v="2"/>
    <x v="1"/>
    <n v="2"/>
    <s v="Wi-N.01"/>
    <n v="2.36"/>
    <n v="0.18"/>
    <n v="0.5"/>
    <n v="0.42479999999999996"/>
    <n v="8.89"/>
    <n v="9.39"/>
    <n v="0.21239999999999998"/>
    <n v="0.42479999999999996"/>
    <s v="Nad otworami zewnętrznymi"/>
    <m/>
  </r>
  <r>
    <x v="2"/>
    <x v="1"/>
    <n v="1"/>
    <s v="Wi-N.01"/>
    <n v="2.67"/>
    <n v="0.18"/>
    <n v="0.5"/>
    <n v="0.48059999999999997"/>
    <n v="8.89"/>
    <n v="9.39"/>
    <n v="0.24029999999999999"/>
    <n v="0.24029999999999999"/>
    <s v="Nad otworami zewnętrznymi"/>
    <m/>
  </r>
  <r>
    <x v="2"/>
    <x v="1"/>
    <n v="2"/>
    <s v="Wi-N.01"/>
    <n v="2.73"/>
    <n v="0.18"/>
    <n v="0.5"/>
    <n v="0.4914"/>
    <n v="8.89"/>
    <n v="9.39"/>
    <n v="0.2457"/>
    <n v="0.4914"/>
    <s v="Nad otworami zewnętrznymi"/>
    <m/>
  </r>
  <r>
    <x v="2"/>
    <x v="2"/>
    <m/>
    <s v="Wi-N.01"/>
    <n v="75.540000000000006"/>
    <n v="0.18"/>
    <n v="0.5"/>
    <n v="13.597200000000001"/>
    <n v="11.99"/>
    <n v="12.49"/>
    <n v="6.7986000000000004"/>
    <n v="6.7986000000000004"/>
    <m/>
    <m/>
  </r>
  <r>
    <x v="2"/>
    <x v="2"/>
    <n v="2"/>
    <s v="Wi-N.01"/>
    <n v="0.63"/>
    <n v="0.18"/>
    <n v="0.5"/>
    <n v="0.1134"/>
    <n v="11.99"/>
    <n v="12.49"/>
    <n v="5.67E-2"/>
    <n v="0.1134"/>
    <s v="Nad otworami zewnętrznymi"/>
    <m/>
  </r>
  <r>
    <x v="2"/>
    <x v="2"/>
    <n v="10"/>
    <s v="Wi-N.01"/>
    <n v="0.93"/>
    <n v="0.18"/>
    <n v="0.5"/>
    <n v="0.16739999999999999"/>
    <n v="11.99"/>
    <n v="12.49"/>
    <n v="8.3699999999999997E-2"/>
    <n v="0.83699999999999997"/>
    <s v="Nad otworami zewnętrznymi"/>
    <m/>
  </r>
  <r>
    <x v="2"/>
    <x v="2"/>
    <n v="1"/>
    <s v="Wi-N.01"/>
    <n v="1.42"/>
    <n v="0.18"/>
    <n v="0.5"/>
    <n v="0.25559999999999999"/>
    <n v="11.99"/>
    <n v="12.49"/>
    <n v="0.1278"/>
    <n v="0.1278"/>
    <s v="Nad otworami zewnętrznymi"/>
    <m/>
  </r>
  <r>
    <x v="2"/>
    <x v="2"/>
    <n v="13"/>
    <s v="Wi-N.01"/>
    <n v="1.43"/>
    <n v="0.18"/>
    <n v="0.5"/>
    <n v="0.25739999999999996"/>
    <n v="11.99"/>
    <n v="12.49"/>
    <n v="0.12869999999999998"/>
    <n v="1.6730999999999998"/>
    <s v="Nad otworami zewnętrznymi"/>
    <m/>
  </r>
  <r>
    <x v="2"/>
    <x v="2"/>
    <n v="2"/>
    <s v="Wi-N.01"/>
    <n v="1.63"/>
    <n v="0.18"/>
    <n v="0.5"/>
    <n v="0.29339999999999999"/>
    <n v="11.99"/>
    <n v="12.49"/>
    <n v="0.1467"/>
    <n v="0.29339999999999999"/>
    <s v="Nad otworami zewnętrznymi"/>
    <m/>
  </r>
  <r>
    <x v="2"/>
    <x v="2"/>
    <n v="1"/>
    <s v="Wi-N.01"/>
    <n v="1.82"/>
    <n v="0.18"/>
    <n v="0.5"/>
    <n v="0.3276"/>
    <n v="11.99"/>
    <n v="12.49"/>
    <n v="0.1638"/>
    <n v="0.1638"/>
    <s v="Nad otworami zewnętrznymi"/>
    <m/>
  </r>
  <r>
    <x v="2"/>
    <x v="2"/>
    <n v="6"/>
    <s v="Wi-N.01"/>
    <n v="1.83"/>
    <n v="0.18"/>
    <n v="0.5"/>
    <n v="0.32940000000000003"/>
    <n v="11.99"/>
    <n v="12.49"/>
    <n v="0.16470000000000001"/>
    <n v="0.98820000000000008"/>
    <s v="Nad otworami zewnętrznymi"/>
    <m/>
  </r>
  <r>
    <x v="2"/>
    <x v="2"/>
    <n v="1"/>
    <s v="Wi-N.01"/>
    <n v="2.0299999999999998"/>
    <n v="0.18"/>
    <n v="0.5"/>
    <n v="0.36539999999999995"/>
    <n v="11.99"/>
    <n v="12.49"/>
    <n v="0.18269999999999997"/>
    <n v="0.18269999999999997"/>
    <s v="Nad otworami zewnętrznymi"/>
    <m/>
  </r>
  <r>
    <x v="2"/>
    <x v="2"/>
    <n v="2"/>
    <s v="Wi-N.01"/>
    <n v="2.36"/>
    <n v="0.18"/>
    <n v="0.5"/>
    <n v="0.42479999999999996"/>
    <n v="11.99"/>
    <n v="12.49"/>
    <n v="0.21239999999999998"/>
    <n v="0.42479999999999996"/>
    <s v="Nad otworami zewnętrznymi"/>
    <m/>
  </r>
  <r>
    <x v="2"/>
    <x v="2"/>
    <n v="1"/>
    <s v="Wi-N.01"/>
    <n v="2.67"/>
    <n v="0.18"/>
    <n v="0.5"/>
    <n v="0.48059999999999997"/>
    <n v="11.99"/>
    <n v="12.49"/>
    <n v="0.24029999999999999"/>
    <n v="0.24029999999999999"/>
    <s v="Nad otworami zewnętrznymi"/>
    <m/>
  </r>
  <r>
    <x v="2"/>
    <x v="2"/>
    <n v="2"/>
    <s v="Wi-N.01"/>
    <n v="2.73"/>
    <n v="0.18"/>
    <n v="0.5"/>
    <n v="0.4914"/>
    <n v="11.99"/>
    <n v="12.49"/>
    <n v="0.2457"/>
    <n v="0.4914"/>
    <s v="Nad otworami zewnętrznymi"/>
    <m/>
  </r>
  <r>
    <x v="2"/>
    <x v="3"/>
    <m/>
    <s v="Wi-N.01"/>
    <n v="75.540000000000006"/>
    <n v="0.18"/>
    <n v="0.5"/>
    <n v="13.597200000000001"/>
    <n v="15.09"/>
    <n v="15.59"/>
    <n v="6.7986000000000004"/>
    <n v="6.7986000000000004"/>
    <m/>
    <m/>
  </r>
  <r>
    <x v="2"/>
    <x v="3"/>
    <n v="2"/>
    <s v="Wi-N.01"/>
    <n v="0.63"/>
    <n v="0.18"/>
    <n v="0.5"/>
    <n v="0.1134"/>
    <n v="15.09"/>
    <n v="15.59"/>
    <n v="5.67E-2"/>
    <n v="0.1134"/>
    <s v="Nad otworami zewnętrznymi"/>
    <m/>
  </r>
  <r>
    <x v="2"/>
    <x v="3"/>
    <n v="10"/>
    <s v="Wi-N.01"/>
    <n v="0.93"/>
    <n v="0.18"/>
    <n v="0.5"/>
    <n v="0.16739999999999999"/>
    <n v="15.09"/>
    <n v="15.59"/>
    <n v="8.3699999999999997E-2"/>
    <n v="0.83699999999999997"/>
    <s v="Nad otworami zewnętrznymi"/>
    <m/>
  </r>
  <r>
    <x v="2"/>
    <x v="3"/>
    <n v="1"/>
    <s v="Wi-N.01"/>
    <n v="1.42"/>
    <n v="0.18"/>
    <n v="0.5"/>
    <n v="0.25559999999999999"/>
    <n v="15.09"/>
    <n v="15.59"/>
    <n v="0.1278"/>
    <n v="0.1278"/>
    <s v="Nad otworami zewnętrznymi"/>
    <m/>
  </r>
  <r>
    <x v="2"/>
    <x v="3"/>
    <n v="13"/>
    <s v="Wi-N.01"/>
    <n v="1.43"/>
    <n v="0.18"/>
    <n v="0.5"/>
    <n v="0.25739999999999996"/>
    <n v="15.09"/>
    <n v="15.59"/>
    <n v="0.12869999999999998"/>
    <n v="1.6730999999999998"/>
    <s v="Nad otworami zewnętrznymi"/>
    <m/>
  </r>
  <r>
    <x v="2"/>
    <x v="3"/>
    <n v="2"/>
    <s v="Wi-N.01"/>
    <n v="1.63"/>
    <n v="0.18"/>
    <n v="0.5"/>
    <n v="0.29339999999999999"/>
    <n v="15.09"/>
    <n v="15.59"/>
    <n v="0.1467"/>
    <n v="0.29339999999999999"/>
    <s v="Nad otworami zewnętrznymi"/>
    <m/>
  </r>
  <r>
    <x v="2"/>
    <x v="3"/>
    <n v="1"/>
    <s v="Wi-N.01"/>
    <n v="1.82"/>
    <n v="0.18"/>
    <n v="0.5"/>
    <n v="0.3276"/>
    <n v="15.09"/>
    <n v="15.59"/>
    <n v="0.1638"/>
    <n v="0.1638"/>
    <s v="Nad otworami zewnętrznymi"/>
    <m/>
  </r>
  <r>
    <x v="2"/>
    <x v="3"/>
    <n v="6"/>
    <s v="Wi-N.01"/>
    <n v="1.83"/>
    <n v="0.18"/>
    <n v="0.5"/>
    <n v="0.32940000000000003"/>
    <n v="15.09"/>
    <n v="15.59"/>
    <n v="0.16470000000000001"/>
    <n v="0.98820000000000008"/>
    <s v="Nad otworami zewnętrznymi"/>
    <m/>
  </r>
  <r>
    <x v="2"/>
    <x v="3"/>
    <n v="1"/>
    <s v="Wi-N.01"/>
    <n v="2.0299999999999998"/>
    <n v="0.18"/>
    <n v="0.5"/>
    <n v="0.36539999999999995"/>
    <n v="15.09"/>
    <n v="15.59"/>
    <n v="0.18269999999999997"/>
    <n v="0.18269999999999997"/>
    <s v="Nad otworami zewnętrznymi"/>
    <m/>
  </r>
  <r>
    <x v="2"/>
    <x v="3"/>
    <n v="2"/>
    <s v="Wi-N.01"/>
    <n v="2.36"/>
    <n v="0.18"/>
    <n v="0.5"/>
    <n v="0.42479999999999996"/>
    <n v="15.09"/>
    <n v="15.59"/>
    <n v="0.21239999999999998"/>
    <n v="0.42479999999999996"/>
    <s v="Nad otworami zewnętrznymi"/>
    <m/>
  </r>
  <r>
    <x v="2"/>
    <x v="3"/>
    <n v="1"/>
    <s v="Wi-N.01"/>
    <n v="2.67"/>
    <n v="0.18"/>
    <n v="0.5"/>
    <n v="0.48059999999999997"/>
    <n v="15.09"/>
    <n v="15.59"/>
    <n v="0.24029999999999999"/>
    <n v="0.24029999999999999"/>
    <s v="Nad otworami zewnętrznymi"/>
    <m/>
  </r>
  <r>
    <x v="2"/>
    <x v="3"/>
    <n v="2"/>
    <s v="Wi-N.01"/>
    <n v="2.73"/>
    <n v="0.18"/>
    <n v="0.5"/>
    <n v="0.4914"/>
    <n v="15.09"/>
    <n v="15.59"/>
    <n v="0.2457"/>
    <n v="0.4914"/>
    <s v="Nad otworami zewnętrznymi"/>
    <m/>
  </r>
  <r>
    <x v="2"/>
    <x v="0"/>
    <m/>
    <s v="Wi-N.02"/>
    <n v="162.93"/>
    <n v="0.18"/>
    <n v="4.0000000000000036E-2"/>
    <n v="29.327400000000001"/>
    <n v="6.25"/>
    <n v="6.29"/>
    <n v="1.173096000000001"/>
    <n v="1.173096000000001"/>
    <m/>
    <m/>
  </r>
  <r>
    <x v="2"/>
    <x v="0"/>
    <n v="10"/>
    <s v="Wi-N.02"/>
    <n v="1.02"/>
    <n v="0.18"/>
    <n v="4.0000000000000036E-2"/>
    <n v="0.18359999999999999"/>
    <n v="6.25"/>
    <n v="6.29"/>
    <n v="7.3440000000000059E-3"/>
    <n v="7.3440000000000061E-2"/>
    <s v="Nad otworami 2L19 (102)"/>
    <m/>
  </r>
  <r>
    <x v="2"/>
    <x v="0"/>
    <n v="1"/>
    <s v="Wi-N.02"/>
    <n v="0.9"/>
    <n v="0.18"/>
    <n v="4.0000000000000036E-2"/>
    <n v="0.16200000000000001"/>
    <n v="6.25"/>
    <n v="6.29"/>
    <n v="6.4800000000000057E-3"/>
    <n v="6.4800000000000057E-3"/>
    <s v="Nad otworami 2L19 (90)"/>
    <m/>
  </r>
  <r>
    <x v="2"/>
    <x v="0"/>
    <n v="1"/>
    <s v="Wi-N.02"/>
    <n v="1"/>
    <n v="0.18"/>
    <n v="4.0000000000000036E-2"/>
    <n v="0.18"/>
    <n v="6.25"/>
    <n v="6.29"/>
    <n v="7.2000000000000059E-3"/>
    <n v="7.2000000000000059E-3"/>
    <s v="Nad otworami 2L19 (100)"/>
    <m/>
  </r>
  <r>
    <x v="2"/>
    <x v="0"/>
    <n v="1"/>
    <s v="Wi-N.02"/>
    <n v="1.1100000000000001"/>
    <n v="0.18"/>
    <n v="4.0000000000000036E-2"/>
    <n v="0.19980000000000001"/>
    <n v="6.25"/>
    <n v="6.29"/>
    <n v="7.9920000000000078E-3"/>
    <n v="7.9920000000000078E-3"/>
    <s v="Nad otworami 2L19 (111)"/>
    <m/>
  </r>
  <r>
    <x v="2"/>
    <x v="0"/>
    <n v="3"/>
    <s v="Wi-N.02"/>
    <n v="1.02"/>
    <n v="0.18"/>
    <n v="4.0000000000000036E-2"/>
    <n v="0.18359999999999999"/>
    <n v="6.25"/>
    <n v="6.29"/>
    <n v="7.3440000000000059E-3"/>
    <n v="2.2032000000000017E-2"/>
    <s v="Nad otworami Np-N.01 (102)"/>
    <m/>
  </r>
  <r>
    <x v="2"/>
    <x v="1"/>
    <m/>
    <s v="Wi-N.02"/>
    <n v="249.48"/>
    <n v="0.18"/>
    <n v="4.0000000000000924E-2"/>
    <n v="44.906399999999998"/>
    <n v="9.35"/>
    <n v="9.39"/>
    <n v="1.7962560000000414"/>
    <n v="1.7962560000000414"/>
    <m/>
    <m/>
  </r>
  <r>
    <x v="2"/>
    <x v="1"/>
    <n v="13"/>
    <s v="Wi-N.02"/>
    <n v="1.02"/>
    <n v="0.18"/>
    <n v="4.0000000000000924E-2"/>
    <n v="0.18359999999999999"/>
    <n v="9.35"/>
    <n v="9.39"/>
    <n v="7.344000000000169E-3"/>
    <n v="9.5472000000002194E-2"/>
    <s v="Nad otworami 2L19 (102)"/>
    <m/>
  </r>
  <r>
    <x v="2"/>
    <x v="1"/>
    <n v="1"/>
    <s v="Wi-N.02"/>
    <n v="0.9"/>
    <n v="0.18"/>
    <n v="4.0000000000000924E-2"/>
    <n v="0.16200000000000001"/>
    <n v="9.35"/>
    <n v="9.39"/>
    <n v="6.4800000000001497E-3"/>
    <n v="6.4800000000001497E-3"/>
    <s v="Nad otworami 2L19 (90)"/>
    <m/>
  </r>
  <r>
    <x v="2"/>
    <x v="1"/>
    <n v="1"/>
    <s v="Wi-N.02"/>
    <n v="1"/>
    <n v="0.18"/>
    <n v="4.0000000000000924E-2"/>
    <n v="0.18"/>
    <n v="9.35"/>
    <n v="9.39"/>
    <n v="7.2000000000001663E-3"/>
    <n v="7.2000000000001663E-3"/>
    <s v="Nad otworami 2L19 (100)"/>
    <m/>
  </r>
  <r>
    <x v="2"/>
    <x v="1"/>
    <n v="1"/>
    <s v="Wi-N.02"/>
    <n v="1.1100000000000001"/>
    <n v="0.18"/>
    <n v="4.0000000000000924E-2"/>
    <n v="0.19980000000000001"/>
    <n v="9.35"/>
    <n v="9.39"/>
    <n v="7.9920000000001847E-3"/>
    <n v="7.9920000000001847E-3"/>
    <s v="Nad otworami 2L19 (111)"/>
    <m/>
  </r>
  <r>
    <x v="2"/>
    <x v="1"/>
    <n v="4"/>
    <s v="Wi-N.02"/>
    <n v="1.02"/>
    <n v="0.18"/>
    <n v="4.0000000000000924E-2"/>
    <n v="0.18359999999999999"/>
    <n v="9.35"/>
    <n v="9.39"/>
    <n v="7.344000000000169E-3"/>
    <n v="2.9376000000000676E-2"/>
    <s v="Nad otworami Np-N.01 (102)"/>
    <m/>
  </r>
  <r>
    <x v="2"/>
    <x v="2"/>
    <m/>
    <s v="Wi-N.02"/>
    <n v="266.7"/>
    <n v="0.18"/>
    <n v="4.0000000000000924E-2"/>
    <n v="48.005999999999993"/>
    <n v="12.45"/>
    <n v="12.49"/>
    <n v="1.9202400000000441"/>
    <n v="1.9202400000000441"/>
    <m/>
    <m/>
  </r>
  <r>
    <x v="2"/>
    <x v="2"/>
    <n v="13"/>
    <s v="Wi-N.02"/>
    <n v="1.02"/>
    <n v="0.18"/>
    <n v="4.0000000000000924E-2"/>
    <n v="0.18359999999999999"/>
    <n v="12.45"/>
    <n v="12.49"/>
    <n v="7.344000000000169E-3"/>
    <n v="9.5472000000002194E-2"/>
    <s v="Nad otworami 2L19 (102)"/>
    <m/>
  </r>
  <r>
    <x v="2"/>
    <x v="2"/>
    <n v="1"/>
    <s v="Wi-N.02"/>
    <n v="0.9"/>
    <n v="0.18"/>
    <n v="4.0000000000000924E-2"/>
    <n v="0.16200000000000001"/>
    <n v="12.45"/>
    <n v="12.49"/>
    <n v="6.4800000000001497E-3"/>
    <n v="6.4800000000001497E-3"/>
    <s v="Nad otworami 2L19 (90)"/>
    <m/>
  </r>
  <r>
    <x v="2"/>
    <x v="2"/>
    <n v="1"/>
    <s v="Wi-N.02"/>
    <n v="1"/>
    <n v="0.18"/>
    <n v="4.0000000000000924E-2"/>
    <n v="0.18"/>
    <n v="12.45"/>
    <n v="12.49"/>
    <n v="7.2000000000001663E-3"/>
    <n v="7.2000000000001663E-3"/>
    <s v="Nad otworami 2L19 (100)"/>
    <m/>
  </r>
  <r>
    <x v="2"/>
    <x v="2"/>
    <n v="1"/>
    <s v="Wi-N.02"/>
    <n v="1.1100000000000001"/>
    <n v="0.18"/>
    <n v="4.0000000000000924E-2"/>
    <n v="0.19980000000000001"/>
    <n v="12.45"/>
    <n v="12.49"/>
    <n v="7.9920000000001847E-3"/>
    <n v="7.9920000000001847E-3"/>
    <s v="Nad otworami 2L19 (111)"/>
    <m/>
  </r>
  <r>
    <x v="2"/>
    <x v="2"/>
    <n v="4"/>
    <s v="Wi-N.02"/>
    <n v="1.02"/>
    <n v="0.18"/>
    <n v="4.0000000000000924E-2"/>
    <n v="0.18359999999999999"/>
    <n v="12.45"/>
    <n v="12.49"/>
    <n v="7.344000000000169E-3"/>
    <n v="2.9376000000000676E-2"/>
    <s v="Nad otworami Np-N.01 (102)"/>
    <m/>
  </r>
  <r>
    <x v="2"/>
    <x v="3"/>
    <m/>
    <s v="Wi-N.02"/>
    <n v="261.3"/>
    <n v="0.18"/>
    <n v="3.9999999999999147E-2"/>
    <n v="47.033999999999999"/>
    <n v="15.55"/>
    <n v="15.59"/>
    <n v="1.88135999999996"/>
    <n v="1.88135999999996"/>
    <m/>
    <m/>
  </r>
  <r>
    <x v="2"/>
    <x v="3"/>
    <n v="13"/>
    <s v="Wi-N.02"/>
    <n v="1.02"/>
    <n v="0.18"/>
    <n v="3.9999999999999147E-2"/>
    <n v="0.18359999999999999"/>
    <n v="15.55"/>
    <n v="15.59"/>
    <n v="7.3439999999998428E-3"/>
    <n v="9.5471999999997961E-2"/>
    <s v="Nad otworami 2L19 (102)"/>
    <m/>
  </r>
  <r>
    <x v="2"/>
    <x v="3"/>
    <n v="1"/>
    <s v="Wi-N.02"/>
    <n v="0.9"/>
    <n v="0.18"/>
    <n v="3.9999999999999147E-2"/>
    <n v="0.16200000000000001"/>
    <n v="15.55"/>
    <n v="15.59"/>
    <n v="6.4799999999998617E-3"/>
    <n v="6.4799999999998617E-3"/>
    <s v="Nad otworami 2L19 (90)"/>
    <m/>
  </r>
  <r>
    <x v="2"/>
    <x v="3"/>
    <n v="1"/>
    <s v="Wi-N.02"/>
    <n v="1"/>
    <n v="0.18"/>
    <n v="3.9999999999999147E-2"/>
    <n v="0.18"/>
    <n v="15.55"/>
    <n v="15.59"/>
    <n v="7.1999999999998463E-3"/>
    <n v="7.1999999999998463E-3"/>
    <s v="Nad otworami 2L19 (100)"/>
    <m/>
  </r>
  <r>
    <x v="2"/>
    <x v="3"/>
    <n v="1"/>
    <s v="Wi-N.02"/>
    <n v="1.1100000000000001"/>
    <n v="0.18"/>
    <n v="3.9999999999999147E-2"/>
    <n v="0.19980000000000001"/>
    <n v="15.55"/>
    <n v="15.59"/>
    <n v="7.9919999999998291E-3"/>
    <n v="7.9919999999998291E-3"/>
    <s v="Nad otworami 2L19 (111)"/>
    <m/>
  </r>
  <r>
    <x v="2"/>
    <x v="3"/>
    <n v="4"/>
    <s v="Wi-N.02"/>
    <n v="1.02"/>
    <n v="0.18"/>
    <n v="3.9999999999999147E-2"/>
    <n v="0.18359999999999999"/>
    <n v="15.55"/>
    <n v="15.59"/>
    <n v="7.3439999999998428E-3"/>
    <n v="2.9375999999999371E-2"/>
    <s v="Nad otworami Np-N.01 (102)"/>
    <m/>
  </r>
  <r>
    <x v="3"/>
    <x v="3"/>
    <n v="3"/>
    <s v="NP-N.SCH1"/>
    <n v="1.56"/>
    <n v="0.18"/>
    <n v="0.5"/>
    <n v="0.28079999999999999"/>
    <n v="15.09"/>
    <n v="15.59"/>
    <n v="0.1404"/>
    <n v="0.42120000000000002"/>
    <s v="Nieprawidłowa ilość na rysunku zbrojeniowym"/>
    <m/>
  </r>
  <r>
    <x v="3"/>
    <x v="3"/>
    <n v="3"/>
    <s v="NP-N.SCH2"/>
    <n v="2.2650000000000001"/>
    <n v="0.18"/>
    <n v="0.5"/>
    <n v="0.40770000000000001"/>
    <n v="15.09"/>
    <n v="15.59"/>
    <n v="0.20385"/>
    <n v="0.61155000000000004"/>
    <s v="Nieprawidłowa ilość na rysunku zbrojeniowym"/>
    <m/>
  </r>
  <r>
    <x v="4"/>
    <x v="4"/>
    <m/>
    <s v="At-zb.01"/>
    <n v="58.58"/>
    <n v="0.18"/>
    <n v="1.1000000000000014"/>
    <n v="10.5444"/>
    <n v="15.77"/>
    <n v="16.87"/>
    <n v="11.598840000000015"/>
    <n v="11.598840000000015"/>
    <m/>
    <s v="Wg. Zbrojeniowego 172mb"/>
  </r>
  <r>
    <x v="4"/>
    <x v="4"/>
    <m/>
    <s v="At-zb.01"/>
    <n v="111.91"/>
    <n v="0.18"/>
    <n v="1.1000000000000014"/>
    <n v="20.143799999999999"/>
    <n v="15.77"/>
    <n v="16.87"/>
    <n v="22.158180000000026"/>
    <n v="22.158180000000026"/>
    <m/>
    <m/>
  </r>
  <r>
    <x v="1"/>
    <x v="0"/>
    <n v="3"/>
    <s v="Wsp-N.SCH"/>
    <n v="2.6150000000000002"/>
    <n v="0.18"/>
    <n v="0.22000000000000064"/>
    <n v="0.47070000000000001"/>
    <n v="4.6399999999999997"/>
    <n v="4.8600000000000003"/>
    <n v="0.1035540000000003"/>
    <n v="0.31066200000000088"/>
    <s v="Szerokość zmniejszona o grubość ściany w której jest osadzony"/>
    <m/>
  </r>
  <r>
    <x v="1"/>
    <x v="1"/>
    <n v="3"/>
    <s v="Wsp-N.SCH"/>
    <n v="2.2650000000000001"/>
    <n v="0.36"/>
    <n v="0.21999999999999975"/>
    <n v="0.81540000000000001"/>
    <n v="7.74"/>
    <n v="7.96"/>
    <n v="0.1793879999999998"/>
    <n v="0.53816399999999942"/>
    <m/>
    <m/>
  </r>
  <r>
    <x v="1"/>
    <x v="2"/>
    <n v="3"/>
    <s v="Wsp-N.SCH"/>
    <n v="2.2650000000000001"/>
    <n v="0.36"/>
    <n v="0.22000000000000064"/>
    <n v="0.81540000000000001"/>
    <n v="10.84"/>
    <n v="11.06"/>
    <n v="0.17938800000000052"/>
    <n v="0.53816400000000153"/>
    <m/>
    <m/>
  </r>
  <r>
    <x v="5"/>
    <x v="0"/>
    <n v="4"/>
    <s v="DO.N-01"/>
    <n v="1.02"/>
    <n v="0.18"/>
    <n v="0.70000000000000018"/>
    <n v="0.18359999999999999"/>
    <n v="5.59"/>
    <n v="6.29"/>
    <n v="0.12852000000000002"/>
    <n v="0.51408000000000009"/>
    <m/>
    <m/>
  </r>
  <r>
    <x v="5"/>
    <x v="0"/>
    <n v="1"/>
    <s v="DO.N-02"/>
    <n v="0.9"/>
    <n v="0.18"/>
    <n v="0.70000000000000018"/>
    <n v="0.16200000000000001"/>
    <n v="5.59"/>
    <n v="6.29"/>
    <n v="0.11340000000000003"/>
    <n v="0.11340000000000003"/>
    <m/>
    <m/>
  </r>
  <r>
    <x v="5"/>
    <x v="1"/>
    <n v="1"/>
    <s v="DO.N-02"/>
    <n v="0.9"/>
    <n v="0.18"/>
    <n v="0.70000000000000107"/>
    <n v="0.16200000000000001"/>
    <n v="8.69"/>
    <n v="9.39"/>
    <n v="0.11340000000000018"/>
    <n v="0.11340000000000018"/>
    <m/>
    <m/>
  </r>
  <r>
    <x v="5"/>
    <x v="2"/>
    <n v="1"/>
    <s v="DO.N-02"/>
    <n v="0.9"/>
    <n v="0.18"/>
    <n v="0.70000000000000107"/>
    <n v="0.16200000000000001"/>
    <n v="11.79"/>
    <n v="12.49"/>
    <n v="0.11340000000000018"/>
    <n v="0.11340000000000018"/>
    <m/>
    <m/>
  </r>
  <r>
    <x v="5"/>
    <x v="3"/>
    <n v="1"/>
    <s v="DO.N-02"/>
    <n v="0.9"/>
    <n v="0.18"/>
    <n v="0.69999999999999929"/>
    <n v="0.16200000000000001"/>
    <n v="14.89"/>
    <n v="15.59"/>
    <n v="0.11339999999999989"/>
    <n v="0.11339999999999989"/>
    <m/>
    <m/>
  </r>
  <r>
    <x v="5"/>
    <x v="0"/>
    <n v="7"/>
    <s v="DO.N-03"/>
    <n v="1.83"/>
    <n v="0.18"/>
    <n v="0.5"/>
    <n v="0.32940000000000003"/>
    <n v="5.79"/>
    <n v="6.29"/>
    <n v="0.16470000000000001"/>
    <n v="1.1529"/>
    <m/>
    <m/>
  </r>
  <r>
    <x v="5"/>
    <x v="0"/>
    <n v="15"/>
    <s v="DO.N-04"/>
    <n v="1.43"/>
    <n v="0.18"/>
    <n v="0.5"/>
    <n v="0.25739999999999996"/>
    <n v="5.79"/>
    <n v="6.29"/>
    <n v="0.12869999999999998"/>
    <n v="1.9304999999999997"/>
    <m/>
    <m/>
  </r>
  <r>
    <x v="5"/>
    <x v="1"/>
    <n v="3"/>
    <s v="DO.N-04"/>
    <n v="1.43"/>
    <n v="0.18"/>
    <n v="0.5"/>
    <n v="0.25739999999999996"/>
    <n v="8.89"/>
    <n v="9.39"/>
    <n v="0.12869999999999998"/>
    <n v="0.38609999999999994"/>
    <m/>
    <m/>
  </r>
  <r>
    <x v="5"/>
    <x v="2"/>
    <n v="1"/>
    <s v="DO.N-04"/>
    <n v="1.43"/>
    <n v="0.18"/>
    <n v="0.5"/>
    <n v="0.25739999999999996"/>
    <n v="11.99"/>
    <n v="12.49"/>
    <n v="0.12869999999999998"/>
    <n v="0.12869999999999998"/>
    <m/>
    <m/>
  </r>
  <r>
    <x v="5"/>
    <x v="3"/>
    <n v="1"/>
    <s v="DO.N-04"/>
    <n v="1.43"/>
    <n v="0.18"/>
    <n v="0.5"/>
    <n v="0.25739999999999996"/>
    <n v="15.09"/>
    <n v="15.59"/>
    <n v="0.12869999999999998"/>
    <n v="0.12869999999999998"/>
    <m/>
    <m/>
  </r>
  <r>
    <x v="5"/>
    <x v="0"/>
    <n v="12"/>
    <s v="DO.N-05"/>
    <n v="0.93"/>
    <n v="0.18"/>
    <n v="0.5"/>
    <n v="0.16739999999999999"/>
    <n v="5.79"/>
    <n v="6.29"/>
    <n v="8.3699999999999997E-2"/>
    <n v="1.0044"/>
    <m/>
    <m/>
  </r>
  <r>
    <x v="5"/>
    <x v="1"/>
    <n v="4"/>
    <s v="DO.N-05"/>
    <n v="0.93"/>
    <n v="0.18"/>
    <n v="0.5"/>
    <n v="0.16739999999999999"/>
    <n v="8.89"/>
    <n v="9.39"/>
    <n v="8.3699999999999997E-2"/>
    <n v="0.33479999999999999"/>
    <m/>
    <m/>
  </r>
  <r>
    <x v="5"/>
    <x v="2"/>
    <n v="2"/>
    <s v="DO.N-05"/>
    <n v="0.93"/>
    <n v="0.18"/>
    <n v="0.5"/>
    <n v="0.16739999999999999"/>
    <n v="11.99"/>
    <n v="12.49"/>
    <n v="8.3699999999999997E-2"/>
    <n v="0.16739999999999999"/>
    <m/>
    <m/>
  </r>
  <r>
    <x v="5"/>
    <x v="3"/>
    <n v="2"/>
    <s v="DO.N-05"/>
    <n v="0.93"/>
    <n v="0.18"/>
    <n v="0.5"/>
    <n v="0.16739999999999999"/>
    <n v="15.09"/>
    <n v="15.59"/>
    <n v="8.3699999999999997E-2"/>
    <n v="0.16739999999999999"/>
    <m/>
    <m/>
  </r>
  <r>
    <x v="5"/>
    <x v="0"/>
    <n v="3"/>
    <s v="DO.N-06"/>
    <n v="2.73"/>
    <n v="0.18"/>
    <n v="0.5"/>
    <n v="0.4914"/>
    <n v="5.79"/>
    <n v="6.29"/>
    <n v="0.2457"/>
    <n v="0.73709999999999998"/>
    <m/>
    <m/>
  </r>
  <r>
    <x v="5"/>
    <x v="0"/>
    <n v="2"/>
    <s v="DO.N-07"/>
    <n v="2.36"/>
    <n v="0.18"/>
    <n v="0.5"/>
    <n v="0.42479999999999996"/>
    <n v="5.79"/>
    <n v="6.29"/>
    <n v="0.21239999999999998"/>
    <n v="0.42479999999999996"/>
    <m/>
    <m/>
  </r>
  <r>
    <x v="5"/>
    <x v="1"/>
    <n v="1"/>
    <s v="DO.N-07"/>
    <n v="2.36"/>
    <n v="0.18"/>
    <n v="0.5"/>
    <n v="0.42479999999999996"/>
    <n v="8.89"/>
    <n v="9.39"/>
    <n v="0.21239999999999998"/>
    <n v="0.21239999999999998"/>
    <m/>
    <m/>
  </r>
  <r>
    <x v="5"/>
    <x v="0"/>
    <n v="3"/>
    <s v="DO.N-08"/>
    <n v="0.63"/>
    <n v="0.18"/>
    <n v="0.5"/>
    <n v="0.1134"/>
    <n v="5.79"/>
    <n v="6.29"/>
    <n v="5.67E-2"/>
    <n v="0.1701"/>
    <m/>
    <m/>
  </r>
  <r>
    <x v="5"/>
    <x v="1"/>
    <n v="1"/>
    <s v="DO.N-08"/>
    <n v="0.63"/>
    <n v="0.18"/>
    <n v="0.5"/>
    <n v="0.1134"/>
    <n v="8.89"/>
    <n v="9.39"/>
    <n v="5.67E-2"/>
    <n v="5.67E-2"/>
    <m/>
    <m/>
  </r>
  <r>
    <x v="5"/>
    <x v="2"/>
    <n v="1"/>
    <s v="DO.N-08"/>
    <n v="0.63"/>
    <n v="0.18"/>
    <n v="0.5"/>
    <n v="0.1134"/>
    <n v="11.99"/>
    <n v="12.49"/>
    <n v="5.67E-2"/>
    <n v="5.67E-2"/>
    <m/>
    <m/>
  </r>
  <r>
    <x v="5"/>
    <x v="3"/>
    <n v="1"/>
    <s v="DO.N-08"/>
    <n v="0.63"/>
    <n v="0.18"/>
    <n v="0.5"/>
    <n v="0.1134"/>
    <n v="15.09"/>
    <n v="15.59"/>
    <n v="5.67E-2"/>
    <n v="5.67E-2"/>
    <m/>
    <m/>
  </r>
  <r>
    <x v="5"/>
    <x v="0"/>
    <n v="3"/>
    <s v="DO.N-09"/>
    <n v="1.63"/>
    <n v="0.18"/>
    <n v="0.5"/>
    <n v="0.29339999999999999"/>
    <n v="5.79"/>
    <n v="6.29"/>
    <n v="0.1467"/>
    <n v="0.44009999999999999"/>
    <m/>
    <m/>
  </r>
  <r>
    <x v="5"/>
    <x v="1"/>
    <n v="1"/>
    <s v="DO.N-09"/>
    <n v="1.63"/>
    <n v="0.18"/>
    <n v="0.5"/>
    <n v="0.29339999999999999"/>
    <n v="8.89"/>
    <n v="9.39"/>
    <n v="0.1467"/>
    <n v="0.1467"/>
    <m/>
    <m/>
  </r>
  <r>
    <x v="5"/>
    <x v="2"/>
    <n v="1"/>
    <s v="DO.N-09"/>
    <n v="1.63"/>
    <n v="0.18"/>
    <n v="0.5"/>
    <n v="0.29339999999999999"/>
    <n v="11.99"/>
    <n v="12.49"/>
    <n v="0.1467"/>
    <n v="0.1467"/>
    <m/>
    <m/>
  </r>
  <r>
    <x v="5"/>
    <x v="3"/>
    <n v="1"/>
    <s v="DO.N-09"/>
    <n v="1.63"/>
    <n v="0.18"/>
    <n v="0.5"/>
    <n v="0.29339999999999999"/>
    <n v="15.09"/>
    <n v="15.59"/>
    <n v="0.1467"/>
    <n v="0.1467"/>
    <m/>
    <m/>
  </r>
  <r>
    <x v="5"/>
    <x v="0"/>
    <n v="1"/>
    <s v="DO.N-10"/>
    <n v="2.02"/>
    <n v="0.18"/>
    <n v="0.5"/>
    <n v="0.36359999999999998"/>
    <n v="5.79"/>
    <n v="6.29"/>
    <n v="0.18179999999999999"/>
    <n v="0.18179999999999999"/>
    <m/>
    <m/>
  </r>
  <r>
    <x v="5"/>
    <x v="0"/>
    <n v="3"/>
    <s v="Np-N.01"/>
    <n v="1.02"/>
    <n v="0.18"/>
    <n v="0.24000000000000021"/>
    <n v="0.18359999999999999"/>
    <n v="5.59"/>
    <n v="5.83"/>
    <n v="4.4064000000000034E-2"/>
    <n v="0.13219200000000009"/>
    <s v="Brak rysunku zbrojarskiego. Nad nadprożem wieniec Wi-N.02"/>
    <m/>
  </r>
  <r>
    <x v="5"/>
    <x v="1"/>
    <n v="4"/>
    <s v="Np-N.01"/>
    <n v="1.02"/>
    <n v="0.18"/>
    <n v="0.24000000000000021"/>
    <n v="0.18359999999999999"/>
    <n v="8.69"/>
    <n v="8.93"/>
    <n v="4.4064000000000034E-2"/>
    <n v="0.17625600000000013"/>
    <s v="Brak rysunku zbrojarskiego. Nad nadprożem wieniec Wi-N.02"/>
    <m/>
  </r>
  <r>
    <x v="5"/>
    <x v="2"/>
    <n v="4"/>
    <s v="Np-N.01"/>
    <n v="1.02"/>
    <n v="0.18"/>
    <n v="0.24000000000000021"/>
    <n v="0.18359999999999999"/>
    <n v="11.79"/>
    <n v="12.03"/>
    <n v="4.4064000000000034E-2"/>
    <n v="0.17625600000000013"/>
    <s v="Brak rysunku zbrojarskiego. Nad nadprożem wieniec Wi-N.02"/>
    <m/>
  </r>
  <r>
    <x v="5"/>
    <x v="3"/>
    <n v="4"/>
    <s v="Np-N.01"/>
    <n v="1.02"/>
    <n v="0.18"/>
    <n v="0.24000000000000021"/>
    <n v="0.18359999999999999"/>
    <n v="14.89"/>
    <n v="15.13"/>
    <n v="4.4064000000000034E-2"/>
    <n v="0.17625600000000013"/>
    <s v="Brak rysunku zbrojarskiego. Nad nadprożem wieniec Wi-N.02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n v="3"/>
    <s v="Sc-f.SW"/>
    <n v="8.94"/>
    <n v="0.18"/>
    <n v="0.98"/>
    <n v="1.6091999999999997"/>
    <n v="-1"/>
    <n v="-0.02"/>
    <n v="1.5770159999999998"/>
    <n v="4.7310479999999995"/>
    <m/>
    <m/>
  </r>
  <r>
    <x v="1"/>
    <x v="0"/>
    <n v="3"/>
    <s v="Wieniec B-B"/>
    <n v="7.7599999999999989"/>
    <n v="0.18"/>
    <n v="0.30000000000000004"/>
    <n v="1.3967999999999998"/>
    <n v="0.95"/>
    <n v="1.25"/>
    <n v="0.41904000000000002"/>
    <n v="1.25712"/>
    <m/>
    <m/>
  </r>
  <r>
    <x v="1"/>
    <x v="1"/>
    <n v="3"/>
    <s v="Wieniec B-B"/>
    <n v="7.7599999999999989"/>
    <n v="0.18"/>
    <n v="0.29999999999999982"/>
    <n v="1.3967999999999998"/>
    <n v="3.45"/>
    <n v="3.75"/>
    <n v="0.41903999999999969"/>
    <n v="1.2571199999999991"/>
    <m/>
    <m/>
  </r>
  <r>
    <x v="1"/>
    <x v="1"/>
    <n v="3"/>
    <s v="Wieniec A-A"/>
    <n v="8.94"/>
    <n v="0.18"/>
    <n v="0.29999999999999982"/>
    <n v="1.6091999999999997"/>
    <n v="5.95"/>
    <n v="6.25"/>
    <n v="0.48275999999999963"/>
    <n v="1.4482799999999989"/>
    <m/>
    <m/>
  </r>
  <r>
    <x v="1"/>
    <x v="2"/>
    <n v="3"/>
    <s v="Wieniec B-B"/>
    <n v="7.7599999999999989"/>
    <n v="0.18"/>
    <n v="0.30000000000000071"/>
    <n v="1.3967999999999998"/>
    <n v="8.4499999999999993"/>
    <n v="8.75"/>
    <n v="0.41904000000000091"/>
    <n v="1.2571200000000027"/>
    <m/>
    <m/>
  </r>
  <r>
    <x v="1"/>
    <x v="3"/>
    <n v="3"/>
    <s v="Wieniec B-B"/>
    <n v="7.7599999999999989"/>
    <n v="0.18"/>
    <n v="0.30000000000000071"/>
    <n v="1.3967999999999998"/>
    <n v="10.95"/>
    <n v="11.25"/>
    <n v="0.41904000000000091"/>
    <n v="1.2571200000000027"/>
    <m/>
    <m/>
  </r>
  <r>
    <x v="1"/>
    <x v="3"/>
    <n v="3"/>
    <s v="Wieniec B-B"/>
    <n v="7.7599999999999989"/>
    <n v="0.18"/>
    <n v="0.30000000000000071"/>
    <n v="1.3967999999999998"/>
    <n v="12.69"/>
    <n v="12.99"/>
    <n v="0.41904000000000091"/>
    <n v="1.2571200000000027"/>
    <m/>
    <m/>
  </r>
  <r>
    <x v="1"/>
    <x v="4"/>
    <n v="3"/>
    <s v="Wieniec B-B"/>
    <n v="7.7599999999999989"/>
    <n v="0.18"/>
    <n v="0.29999999999999893"/>
    <n v="1.3967999999999998"/>
    <n v="14.71"/>
    <n v="15.01"/>
    <n v="0.41903999999999847"/>
    <n v="1.2571199999999954"/>
    <m/>
    <m/>
  </r>
  <r>
    <x v="2"/>
    <x v="0"/>
    <n v="3"/>
    <s v="NP.S-01"/>
    <n v="2.0099999999999998"/>
    <n v="0.18"/>
    <n v="0.13"/>
    <n v="0.36179999999999995"/>
    <m/>
    <m/>
    <n v="4.7033999999999992E-2"/>
    <n v="0.14110199999999998"/>
    <m/>
    <m/>
  </r>
  <r>
    <x v="2"/>
    <x v="0"/>
    <n v="3"/>
    <s v="NP.S-01"/>
    <n v="2.0099999999999998"/>
    <n v="0.1"/>
    <n v="7.0000000000000007E-2"/>
    <n v="0.20099999999999998"/>
    <m/>
    <m/>
    <n v="1.4070000000000001E-2"/>
    <n v="4.2210000000000004E-2"/>
    <m/>
    <m/>
  </r>
  <r>
    <x v="2"/>
    <x v="0"/>
    <n v="3"/>
    <s v="NP.S-02"/>
    <n v="2.0099999999999998"/>
    <n v="0.18"/>
    <n v="0.2"/>
    <n v="0.36179999999999995"/>
    <m/>
    <m/>
    <n v="7.2359999999999994E-2"/>
    <n v="0.21708"/>
    <m/>
    <m/>
  </r>
  <r>
    <x v="2"/>
    <x v="0"/>
    <n v="3"/>
    <s v="NP.S-01"/>
    <n v="2.0099999999999998"/>
    <n v="0.18"/>
    <n v="0.13"/>
    <n v="0.36179999999999995"/>
    <m/>
    <m/>
    <n v="4.7033999999999992E-2"/>
    <n v="0.14110199999999998"/>
    <m/>
    <m/>
  </r>
  <r>
    <x v="2"/>
    <x v="0"/>
    <n v="3"/>
    <s v="NP.S-01"/>
    <n v="2.0099999999999998"/>
    <n v="0.1"/>
    <n v="7.0000000000000007E-2"/>
    <n v="0.20099999999999998"/>
    <m/>
    <m/>
    <n v="1.4070000000000001E-2"/>
    <n v="4.2210000000000004E-2"/>
    <m/>
    <m/>
  </r>
  <r>
    <x v="2"/>
    <x v="1"/>
    <n v="3"/>
    <s v="NP.S-02"/>
    <n v="2.0099999999999998"/>
    <n v="0.18"/>
    <n v="0.2"/>
    <n v="0.36179999999999995"/>
    <m/>
    <m/>
    <n v="7.2359999999999994E-2"/>
    <n v="0.21708"/>
    <m/>
    <m/>
  </r>
  <r>
    <x v="2"/>
    <x v="1"/>
    <n v="3"/>
    <s v="NP.S-01"/>
    <n v="2.0099999999999998"/>
    <n v="0.18"/>
    <n v="0.13"/>
    <n v="0.36179999999999995"/>
    <m/>
    <m/>
    <n v="4.7033999999999992E-2"/>
    <n v="0.14110199999999998"/>
    <m/>
    <m/>
  </r>
  <r>
    <x v="2"/>
    <x v="1"/>
    <n v="3"/>
    <s v="NP.S-01"/>
    <n v="2.0099999999999998"/>
    <n v="0.1"/>
    <n v="7.0000000000000007E-2"/>
    <n v="0.20099999999999998"/>
    <m/>
    <m/>
    <n v="1.4070000000000001E-2"/>
    <n v="4.2210000000000004E-2"/>
    <m/>
    <m/>
  </r>
  <r>
    <x v="2"/>
    <x v="2"/>
    <n v="3"/>
    <s v="NP.S-02"/>
    <n v="2.0099999999999998"/>
    <n v="0.18"/>
    <n v="0.2"/>
    <n v="0.36179999999999995"/>
    <m/>
    <m/>
    <n v="7.2359999999999994E-2"/>
    <n v="0.21708"/>
    <m/>
    <m/>
  </r>
  <r>
    <x v="2"/>
    <x v="2"/>
    <n v="3"/>
    <s v="NP.S-01"/>
    <n v="2.0099999999999998"/>
    <n v="0.18"/>
    <n v="0.13"/>
    <n v="0.36179999999999995"/>
    <m/>
    <m/>
    <n v="4.7033999999999992E-2"/>
    <n v="0.14110199999999998"/>
    <m/>
    <m/>
  </r>
  <r>
    <x v="2"/>
    <x v="2"/>
    <n v="3"/>
    <s v="NP.S-01"/>
    <n v="2.0099999999999998"/>
    <n v="0.1"/>
    <n v="7.0000000000000007E-2"/>
    <n v="0.20099999999999998"/>
    <m/>
    <m/>
    <n v="1.4070000000000001E-2"/>
    <n v="4.2210000000000004E-2"/>
    <m/>
    <m/>
  </r>
  <r>
    <x v="2"/>
    <x v="3"/>
    <n v="3"/>
    <s v="NP.S-02"/>
    <n v="2.0099999999999998"/>
    <n v="0.18"/>
    <n v="0.2"/>
    <n v="0.36179999999999995"/>
    <m/>
    <m/>
    <n v="7.2359999999999994E-2"/>
    <n v="0.21708"/>
    <m/>
    <m/>
  </r>
  <r>
    <x v="2"/>
    <x v="3"/>
    <n v="3"/>
    <s v="NP.S-01"/>
    <n v="2.0099999999999998"/>
    <n v="0.18"/>
    <n v="0.13"/>
    <n v="0.36179999999999995"/>
    <m/>
    <m/>
    <n v="4.7033999999999992E-2"/>
    <n v="0.14110199999999998"/>
    <m/>
    <m/>
  </r>
  <r>
    <x v="2"/>
    <x v="3"/>
    <n v="3"/>
    <s v="NP.S-01"/>
    <n v="2.0099999999999998"/>
    <n v="0.1"/>
    <n v="7.0000000000000007E-2"/>
    <n v="0.20099999999999998"/>
    <m/>
    <m/>
    <n v="1.4070000000000001E-2"/>
    <n v="4.2210000000000004E-2"/>
    <m/>
    <m/>
  </r>
  <r>
    <x v="2"/>
    <x v="4"/>
    <n v="3"/>
    <s v="NP.S-02"/>
    <n v="2.0099999999999998"/>
    <n v="0.18"/>
    <n v="0.2"/>
    <n v="0.36179999999999995"/>
    <m/>
    <m/>
    <n v="7.2359999999999994E-2"/>
    <n v="0.21708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Bieg schodowy prefabrykowany"/>
    <x v="0"/>
    <n v="3"/>
    <x v="0"/>
    <m/>
    <n v="1.2"/>
    <m/>
    <n v="1.3216985000000001"/>
    <m/>
    <m/>
    <n v="1.3216985000000001"/>
    <n v="3.9650955000000003"/>
    <m/>
    <m/>
  </r>
  <r>
    <s v="Bieg schodowy prefabrykowany"/>
    <x v="0"/>
    <n v="3"/>
    <x v="1"/>
    <m/>
    <n v="1.2"/>
    <m/>
    <n v="1.13462869"/>
    <m/>
    <m/>
    <n v="1.13462869"/>
    <n v="3.40388607"/>
    <m/>
    <m/>
  </r>
  <r>
    <s v="Bieg schodowy prefabrykowany"/>
    <x v="1"/>
    <n v="3"/>
    <x v="2"/>
    <m/>
    <n v="1.25"/>
    <m/>
    <n v="1.0680757599999999"/>
    <m/>
    <m/>
    <n v="1.0680757599999999"/>
    <n v="3.2042272799999996"/>
    <m/>
    <m/>
  </r>
  <r>
    <s v="Bieg schodowy prefabrykowany"/>
    <x v="1"/>
    <n v="3"/>
    <x v="3"/>
    <m/>
    <n v="1.25"/>
    <m/>
    <n v="0.95176731000000003"/>
    <m/>
    <m/>
    <n v="0.95176731000000003"/>
    <n v="2.85530193"/>
    <m/>
    <m/>
  </r>
  <r>
    <s v="Bieg schodowy prefabrykowany"/>
    <x v="2"/>
    <n v="3"/>
    <x v="4"/>
    <m/>
    <n v="1.25"/>
    <m/>
    <n v="1.0303316300000001"/>
    <m/>
    <m/>
    <n v="1.0303316300000001"/>
    <n v="3.0909948900000002"/>
    <m/>
    <m/>
  </r>
  <r>
    <s v="Bieg schodowy prefabrykowany"/>
    <x v="2"/>
    <n v="3"/>
    <x v="3"/>
    <m/>
    <n v="1.25"/>
    <m/>
    <n v="0.95176731000000003"/>
    <m/>
    <m/>
    <n v="0.95176731000000003"/>
    <n v="2.85530193"/>
    <m/>
    <m/>
  </r>
  <r>
    <s v="Bieg schodowy prefabrykowany"/>
    <x v="3"/>
    <n v="3"/>
    <x v="4"/>
    <m/>
    <n v="1.25"/>
    <m/>
    <n v="1.0303316300000001"/>
    <m/>
    <m/>
    <n v="1.0303316300000001"/>
    <n v="3.0909948900000002"/>
    <m/>
    <m/>
  </r>
  <r>
    <s v="Bieg schodowy prefabrykowany"/>
    <x v="3"/>
    <n v="3"/>
    <x v="3"/>
    <m/>
    <n v="1.25"/>
    <m/>
    <n v="0.95176731000000003"/>
    <m/>
    <m/>
    <n v="0.95176731000000003"/>
    <n v="2.85530193"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1"/>
    <s v="PŁ.ŻB.N-01 gr. 18cm"/>
    <m/>
    <m/>
    <n v="0.17999999999999972"/>
    <m/>
    <n v="319.62"/>
    <n v="6.29"/>
    <n v="6.47"/>
    <n v="57.531599999999912"/>
    <n v="57.531599999999912"/>
    <m/>
  </r>
  <r>
    <x v="0"/>
    <x v="0"/>
    <n v="1"/>
    <s v="PŁ.ŻB.N-02 gr. 18cm"/>
    <m/>
    <m/>
    <n v="0.17999999999999972"/>
    <m/>
    <n v="743.34"/>
    <n v="6.29"/>
    <n v="6.47"/>
    <n v="133.8011999999998"/>
    <n v="133.8011999999998"/>
    <m/>
  </r>
  <r>
    <x v="0"/>
    <x v="0"/>
    <m/>
    <s v="PŁ.ŻB.N-01 gr. 18cm"/>
    <n v="-2.8450000000000002"/>
    <n v="2.085"/>
    <n v="0.17999999999999972"/>
    <s v="otwór windy"/>
    <n v="-5.9318249999999999"/>
    <n v="6.29"/>
    <n v="6.47"/>
    <n v="-1.0677284999999983"/>
    <n v="-1.0677284999999983"/>
    <m/>
  </r>
  <r>
    <x v="0"/>
    <x v="0"/>
    <m/>
    <s v="PŁ.ŻB.N-01 gr. 18cm"/>
    <n v="-3.9750000000000001"/>
    <n v="2.61"/>
    <n v="0.17999999999999972"/>
    <s v="otwór klatki"/>
    <n v="-10.374750000000001"/>
    <n v="6.29"/>
    <n v="6.47"/>
    <n v="-1.8674549999999972"/>
    <n v="-1.8674549999999972"/>
    <m/>
  </r>
  <r>
    <x v="0"/>
    <x v="0"/>
    <m/>
    <s v="PŁ.ŻB.N-02 gr. 18cm"/>
    <n v="-2.8450000000000002"/>
    <n v="2.085"/>
    <n v="0.17999999999999972"/>
    <s v="otwór windy"/>
    <n v="-5.9318249999999999"/>
    <n v="6.29"/>
    <n v="6.47"/>
    <n v="-1.0677284999999983"/>
    <n v="-1.0677284999999983"/>
    <m/>
  </r>
  <r>
    <x v="0"/>
    <x v="0"/>
    <m/>
    <s v="PŁ.ŻB.N-02 gr. 18cm"/>
    <n v="-3.98"/>
    <n v="2.61"/>
    <n v="0.17999999999999972"/>
    <s v="otwór klatki"/>
    <n v="-10.387799999999999"/>
    <n v="6.29"/>
    <n v="6.47"/>
    <n v="-1.8698039999999967"/>
    <n v="-1.8698039999999967"/>
    <m/>
  </r>
  <r>
    <x v="0"/>
    <x v="0"/>
    <m/>
    <s v="PŁ.ŻB.N-02 gr. 18cm"/>
    <n v="-2.9"/>
    <n v="2.085"/>
    <n v="0.17999999999999972"/>
    <s v="otwór windy"/>
    <n v="-6.0465"/>
    <n v="6.29"/>
    <n v="6.47"/>
    <n v="-1.0883699999999983"/>
    <n v="-1.0883699999999983"/>
    <m/>
  </r>
  <r>
    <x v="0"/>
    <x v="0"/>
    <m/>
    <s v="PŁ.ŻB.N-02 gr. 18cm"/>
    <n v="-3.98"/>
    <n v="2.61"/>
    <n v="0.17999999999999972"/>
    <s v="otwór klatki"/>
    <n v="-10.387799999999999"/>
    <n v="6.29"/>
    <n v="6.47"/>
    <n v="-1.8698039999999967"/>
    <n v="-1.8698039999999967"/>
    <m/>
  </r>
  <r>
    <x v="1"/>
    <x v="0"/>
    <n v="6"/>
    <s v="PŁ.ŻB.N-05"/>
    <n v="1.92"/>
    <n v="1.36"/>
    <n v="0.16999999999999993"/>
    <m/>
    <n v="2.6112000000000002"/>
    <n v="6.29"/>
    <n v="6.46"/>
    <n v="0.44390399999999985"/>
    <n v="2.6634239999999991"/>
    <m/>
  </r>
  <r>
    <x v="1"/>
    <x v="0"/>
    <n v="2"/>
    <s v="PŁ.ŻB.N-06"/>
    <n v="4.1900000000000004"/>
    <n v="1.41"/>
    <n v="0.16999999999999993"/>
    <m/>
    <n v="5.9079000000000006"/>
    <n v="6.29"/>
    <n v="6.46"/>
    <n v="1.0043429999999998"/>
    <n v="2.0086859999999995"/>
    <m/>
  </r>
  <r>
    <x v="1"/>
    <x v="0"/>
    <n v="6"/>
    <s v="PŁ.ŻB.N-07"/>
    <n v="1.72"/>
    <n v="1.36"/>
    <n v="0.16999999999999993"/>
    <m/>
    <n v="2.3391999999999999"/>
    <n v="6.29"/>
    <n v="6.46"/>
    <n v="0.39766399999999985"/>
    <n v="2.3859839999999992"/>
    <m/>
  </r>
  <r>
    <x v="1"/>
    <x v="0"/>
    <n v="1"/>
    <s v="PŁ.ŻB.N-08"/>
    <n v="6.2850000000000001"/>
    <n v="1.41"/>
    <n v="0.16999999999999993"/>
    <m/>
    <n v="8.8618500000000004"/>
    <n v="6.29"/>
    <n v="6.46"/>
    <n v="1.5065144999999995"/>
    <n v="1.5065144999999995"/>
    <m/>
  </r>
  <r>
    <x v="1"/>
    <x v="0"/>
    <n v="1"/>
    <s v="PŁ.ŻB.N-09"/>
    <n v="6.0749999999999993"/>
    <n v="1.6"/>
    <n v="0.16999999999999993"/>
    <m/>
    <n v="9.7199999999999989"/>
    <n v="6.29"/>
    <n v="6.46"/>
    <n v="1.6523999999999992"/>
    <n v="1.6523999999999992"/>
    <m/>
  </r>
  <r>
    <x v="0"/>
    <x v="1"/>
    <n v="1"/>
    <s v="PŁ.ŻB.N-01 gr. 18cm"/>
    <m/>
    <m/>
    <n v="0.17999999999999972"/>
    <m/>
    <n v="319.62"/>
    <n v="9.39"/>
    <n v="9.57"/>
    <n v="57.531599999999912"/>
    <n v="57.531599999999912"/>
    <m/>
  </r>
  <r>
    <x v="0"/>
    <x v="1"/>
    <n v="1"/>
    <s v="PŁ.ŻB.N-02 gr. 18cm"/>
    <m/>
    <m/>
    <n v="0.17999999999999972"/>
    <m/>
    <n v="743.34"/>
    <n v="9.39"/>
    <n v="9.57"/>
    <n v="133.8011999999998"/>
    <n v="133.8011999999998"/>
    <m/>
  </r>
  <r>
    <x v="0"/>
    <x v="1"/>
    <m/>
    <s v="PŁ.ŻB.N-01 gr. 18cm"/>
    <n v="-2.8450000000000002"/>
    <n v="2.085"/>
    <n v="0.17999999999999972"/>
    <s v="otwór windy"/>
    <n v="-5.9318249999999999"/>
    <n v="9.39"/>
    <n v="9.57"/>
    <n v="-1.0677284999999983"/>
    <n v="-1.0677284999999983"/>
    <m/>
  </r>
  <r>
    <x v="0"/>
    <x v="1"/>
    <m/>
    <s v="PŁ.ŻB.N-01 gr. 18cm"/>
    <n v="-3.9750000000000001"/>
    <n v="2.61"/>
    <n v="0.17999999999999972"/>
    <s v="otwór klatki"/>
    <n v="-10.374750000000001"/>
    <n v="9.39"/>
    <n v="9.57"/>
    <n v="-1.8674549999999972"/>
    <n v="-1.8674549999999972"/>
    <m/>
  </r>
  <r>
    <x v="0"/>
    <x v="1"/>
    <m/>
    <s v="PŁ.ŻB.N-02 gr. 18cm"/>
    <n v="-2.8450000000000002"/>
    <n v="2.085"/>
    <n v="0.17999999999999972"/>
    <s v="otwór windy"/>
    <n v="-5.9318249999999999"/>
    <n v="9.39"/>
    <n v="9.57"/>
    <n v="-1.0677284999999983"/>
    <n v="-1.0677284999999983"/>
    <m/>
  </r>
  <r>
    <x v="0"/>
    <x v="1"/>
    <m/>
    <s v="PŁ.ŻB.N-02 gr. 18cm"/>
    <n v="-3.98"/>
    <n v="2.61"/>
    <n v="0.17999999999999972"/>
    <s v="otwór klatki"/>
    <n v="-10.387799999999999"/>
    <n v="9.39"/>
    <n v="9.57"/>
    <n v="-1.8698039999999967"/>
    <n v="-1.8698039999999967"/>
    <m/>
  </r>
  <r>
    <x v="0"/>
    <x v="1"/>
    <m/>
    <s v="PŁ.ŻB.N-02 gr. 18cm"/>
    <n v="-2.9"/>
    <n v="2.085"/>
    <n v="0.17999999999999972"/>
    <s v="otwór windy"/>
    <n v="-6.0465"/>
    <n v="9.39"/>
    <n v="9.57"/>
    <n v="-1.0883699999999983"/>
    <n v="-1.0883699999999983"/>
    <m/>
  </r>
  <r>
    <x v="0"/>
    <x v="1"/>
    <m/>
    <s v="PŁ.ŻB.N-02 gr. 18cm"/>
    <n v="-3.98"/>
    <n v="2.61"/>
    <n v="0.17999999999999972"/>
    <s v="otwór klatki"/>
    <n v="-10.387799999999999"/>
    <n v="9.39"/>
    <n v="9.57"/>
    <n v="-1.8698039999999967"/>
    <n v="-1.8698039999999967"/>
    <m/>
  </r>
  <r>
    <x v="1"/>
    <x v="1"/>
    <n v="6"/>
    <s v="PŁ.ŻB.N-05"/>
    <n v="1.92"/>
    <n v="1.36"/>
    <n v="0.16999999999999993"/>
    <m/>
    <n v="2.6112000000000002"/>
    <n v="9.39"/>
    <n v="9.56"/>
    <n v="0.44390399999999985"/>
    <n v="2.6634239999999991"/>
    <m/>
  </r>
  <r>
    <x v="1"/>
    <x v="1"/>
    <n v="2"/>
    <s v="PŁ.ŻB.N-06"/>
    <n v="4.1900000000000004"/>
    <n v="1.41"/>
    <n v="0.16999999999999993"/>
    <m/>
    <n v="5.9079000000000006"/>
    <n v="9.39"/>
    <n v="9.56"/>
    <n v="1.0043429999999998"/>
    <n v="2.0086859999999995"/>
    <m/>
  </r>
  <r>
    <x v="1"/>
    <x v="1"/>
    <n v="6"/>
    <s v="PŁ.ŻB.N-07"/>
    <n v="1.72"/>
    <n v="1.36"/>
    <n v="0.16999999999999993"/>
    <m/>
    <n v="2.3391999999999999"/>
    <n v="9.39"/>
    <n v="9.56"/>
    <n v="0.39766399999999985"/>
    <n v="2.3859839999999992"/>
    <m/>
  </r>
  <r>
    <x v="1"/>
    <x v="1"/>
    <n v="1"/>
    <s v="PŁ.ŻB.N-08"/>
    <n v="6.2850000000000001"/>
    <n v="1.41"/>
    <n v="0.16999999999999993"/>
    <m/>
    <n v="8.8618500000000004"/>
    <n v="9.39"/>
    <n v="9.56"/>
    <n v="1.5065144999999995"/>
    <n v="1.5065144999999995"/>
    <m/>
  </r>
  <r>
    <x v="1"/>
    <x v="1"/>
    <n v="1"/>
    <s v="PŁ.ŻB.N-09"/>
    <n v="6.0749999999999993"/>
    <n v="1.6"/>
    <n v="0.16999999999999993"/>
    <m/>
    <n v="9.7199999999999989"/>
    <n v="9.39"/>
    <n v="9.56"/>
    <n v="1.6523999999999992"/>
    <n v="1.6523999999999992"/>
    <m/>
  </r>
  <r>
    <x v="0"/>
    <x v="2"/>
    <n v="1"/>
    <s v="PŁ.ŻB.N-01 gr. 18cm"/>
    <m/>
    <m/>
    <n v="0.17999999999999972"/>
    <m/>
    <n v="319.62"/>
    <n v="12.49"/>
    <n v="12.67"/>
    <n v="57.531599999999912"/>
    <n v="57.531599999999912"/>
    <m/>
  </r>
  <r>
    <x v="0"/>
    <x v="2"/>
    <n v="1"/>
    <s v="PŁ.ŻB.N-02 gr. 18cm"/>
    <m/>
    <m/>
    <n v="0.17999999999999972"/>
    <m/>
    <n v="743.34"/>
    <n v="12.49"/>
    <n v="12.67"/>
    <n v="133.8011999999998"/>
    <n v="133.8011999999998"/>
    <m/>
  </r>
  <r>
    <x v="0"/>
    <x v="2"/>
    <m/>
    <s v="PŁ.ŻB.N-01 gr. 18cm"/>
    <n v="-2.8450000000000002"/>
    <n v="2.085"/>
    <n v="0.17999999999999972"/>
    <s v="otwór windy"/>
    <n v="-5.9318249999999999"/>
    <n v="12.49"/>
    <n v="12.67"/>
    <n v="-1.0677284999999983"/>
    <n v="-1.0677284999999983"/>
    <m/>
  </r>
  <r>
    <x v="0"/>
    <x v="2"/>
    <m/>
    <s v="PŁ.ŻB.N-01 gr. 18cm"/>
    <n v="-3.9750000000000001"/>
    <n v="2.61"/>
    <n v="0.17999999999999972"/>
    <s v="otwór klatki"/>
    <n v="-10.374750000000001"/>
    <n v="12.49"/>
    <n v="12.67"/>
    <n v="-1.8674549999999972"/>
    <n v="-1.8674549999999972"/>
    <m/>
  </r>
  <r>
    <x v="0"/>
    <x v="2"/>
    <m/>
    <s v="PŁ.ŻB.N-02 gr. 18cm"/>
    <n v="-2.8450000000000002"/>
    <n v="2.085"/>
    <n v="0.17999999999999972"/>
    <s v="otwór windy"/>
    <n v="-5.9318249999999999"/>
    <n v="12.49"/>
    <n v="12.67"/>
    <n v="-1.0677284999999983"/>
    <n v="-1.0677284999999983"/>
    <m/>
  </r>
  <r>
    <x v="0"/>
    <x v="2"/>
    <m/>
    <s v="PŁ.ŻB.N-02 gr. 18cm"/>
    <n v="-3.98"/>
    <n v="2.61"/>
    <n v="0.17999999999999972"/>
    <s v="otwór klatki"/>
    <n v="-10.387799999999999"/>
    <n v="12.49"/>
    <n v="12.67"/>
    <n v="-1.8698039999999967"/>
    <n v="-1.8698039999999967"/>
    <m/>
  </r>
  <r>
    <x v="0"/>
    <x v="2"/>
    <m/>
    <s v="PŁ.ŻB.N-02 gr. 18cm"/>
    <n v="-2.9"/>
    <n v="2.085"/>
    <n v="0.17999999999999972"/>
    <s v="otwór windy"/>
    <n v="-6.0465"/>
    <n v="12.49"/>
    <n v="12.67"/>
    <n v="-1.0883699999999983"/>
    <n v="-1.0883699999999983"/>
    <m/>
  </r>
  <r>
    <x v="0"/>
    <x v="2"/>
    <m/>
    <s v="PŁ.ŻB.N-02 gr. 18cm"/>
    <n v="-3.98"/>
    <n v="2.61"/>
    <n v="0.17999999999999972"/>
    <s v="otwór klatki"/>
    <n v="-10.387799999999999"/>
    <n v="12.49"/>
    <n v="12.67"/>
    <n v="-1.8698039999999967"/>
    <n v="-1.8698039999999967"/>
    <m/>
  </r>
  <r>
    <x v="1"/>
    <x v="2"/>
    <n v="6"/>
    <s v="PŁ.ŻB.N-05"/>
    <n v="1.92"/>
    <n v="1.36"/>
    <n v="0.16999999999999993"/>
    <m/>
    <n v="2.6112000000000002"/>
    <n v="12.49"/>
    <n v="12.66"/>
    <n v="0.44390399999999985"/>
    <n v="2.6634239999999991"/>
    <m/>
  </r>
  <r>
    <x v="1"/>
    <x v="2"/>
    <n v="2"/>
    <s v="PŁ.ŻB.N-06"/>
    <n v="4.1900000000000004"/>
    <n v="1.41"/>
    <n v="0.16999999999999993"/>
    <m/>
    <n v="5.9079000000000006"/>
    <n v="12.49"/>
    <n v="12.66"/>
    <n v="1.0043429999999998"/>
    <n v="2.0086859999999995"/>
    <m/>
  </r>
  <r>
    <x v="1"/>
    <x v="2"/>
    <n v="6"/>
    <s v="PŁ.ŻB.N-07"/>
    <n v="1.72"/>
    <n v="1.36"/>
    <n v="0.16999999999999993"/>
    <m/>
    <n v="2.3391999999999999"/>
    <n v="12.49"/>
    <n v="12.66"/>
    <n v="0.39766399999999985"/>
    <n v="2.3859839999999992"/>
    <m/>
  </r>
  <r>
    <x v="1"/>
    <x v="2"/>
    <n v="1"/>
    <s v="PŁ.ŻB.N-08"/>
    <n v="6.2850000000000001"/>
    <n v="1.41"/>
    <n v="0.16999999999999993"/>
    <m/>
    <n v="8.8618500000000004"/>
    <n v="12.49"/>
    <n v="12.66"/>
    <n v="1.5065144999999995"/>
    <n v="1.5065144999999995"/>
    <m/>
  </r>
  <r>
    <x v="1"/>
    <x v="2"/>
    <n v="1"/>
    <s v="PŁ.ŻB.N-09"/>
    <n v="6.0749999999999993"/>
    <n v="1.6"/>
    <n v="0.16999999999999993"/>
    <m/>
    <n v="9.7199999999999989"/>
    <n v="12.49"/>
    <n v="12.66"/>
    <n v="1.6523999999999992"/>
    <n v="1.6523999999999992"/>
    <m/>
  </r>
  <r>
    <x v="0"/>
    <x v="3"/>
    <n v="1"/>
    <s v="PŁ.ŻB.N-03 gr. 18cm"/>
    <m/>
    <m/>
    <n v="0.17999999999999972"/>
    <m/>
    <n v="326.43"/>
    <n v="15.59"/>
    <n v="15.77"/>
    <n v="58.757399999999912"/>
    <n v="58.757399999999912"/>
    <m/>
  </r>
  <r>
    <x v="0"/>
    <x v="3"/>
    <n v="1"/>
    <s v="PŁ.ŻB.N-04 gr. 18cm"/>
    <m/>
    <m/>
    <n v="0.17999999999999972"/>
    <m/>
    <n v="769.29"/>
    <n v="15.59"/>
    <n v="15.77"/>
    <n v="138.47219999999979"/>
    <n v="138.47219999999979"/>
    <m/>
  </r>
  <r>
    <x v="0"/>
    <x v="3"/>
    <m/>
    <s v="PŁ.ŻB.N-03 gr. 18cm"/>
    <n v="-2.8450000000000002"/>
    <n v="2.085"/>
    <n v="0.17999999999999972"/>
    <s v="otwór windy"/>
    <n v="-5.9318249999999999"/>
    <n v="15.59"/>
    <n v="15.77"/>
    <n v="-1.0677284999999983"/>
    <n v="-1.0677284999999983"/>
    <m/>
  </r>
  <r>
    <x v="0"/>
    <x v="3"/>
    <m/>
    <s v="PŁ.ŻB.N-04 gr. 18cm"/>
    <n v="-2.8450000000000002"/>
    <n v="2.085"/>
    <n v="0.17999999999999972"/>
    <s v="otwór windy"/>
    <n v="-5.9318249999999999"/>
    <n v="15.59"/>
    <n v="15.77"/>
    <n v="-1.0677284999999983"/>
    <n v="-1.0677284999999983"/>
    <m/>
  </r>
  <r>
    <x v="0"/>
    <x v="3"/>
    <m/>
    <s v="PŁ.ŻB.N-04 gr. 18cm"/>
    <n v="-2.9"/>
    <n v="2.085"/>
    <n v="0.17999999999999972"/>
    <s v="otwór windy"/>
    <n v="-6.0465"/>
    <n v="15.59"/>
    <n v="15.77"/>
    <n v="-1.0883699999999983"/>
    <n v="-1.0883699999999983"/>
    <m/>
  </r>
  <r>
    <x v="1"/>
    <x v="3"/>
    <n v="6"/>
    <s v="PŁ.ŻB.N-05"/>
    <n v="1.92"/>
    <n v="1.36"/>
    <n v="0.16999999999999993"/>
    <m/>
    <n v="2.6112000000000002"/>
    <n v="15.59"/>
    <n v="15.76"/>
    <n v="0.44390399999999985"/>
    <n v="2.6634239999999991"/>
    <m/>
  </r>
  <r>
    <x v="1"/>
    <x v="3"/>
    <n v="6"/>
    <s v="PŁ.ŻB.N-07"/>
    <n v="1.72"/>
    <n v="1.36"/>
    <n v="0.16999999999999993"/>
    <m/>
    <n v="2.3391999999999999"/>
    <n v="15.59"/>
    <n v="15.76"/>
    <n v="0.39766399999999985"/>
    <n v="2.3859839999999992"/>
    <m/>
  </r>
  <r>
    <x v="0"/>
    <x v="4"/>
    <n v="1"/>
    <s v="PŁ.ŻB.WIN gr. 20cm"/>
    <n v="2.8149999999999999"/>
    <n v="2.0249999999999999"/>
    <n v="0.20000000000000284"/>
    <s v="otwór windy"/>
    <n v="5.7003749999999993"/>
    <n v="16.399999999999999"/>
    <n v="16.600000000000001"/>
    <n v="1.1400750000000162"/>
    <n v="1.1400750000000162"/>
    <m/>
  </r>
  <r>
    <x v="0"/>
    <x v="4"/>
    <n v="1"/>
    <s v="PŁ.ŻB.WIN gr. 20cm"/>
    <n v="2.8149999999999999"/>
    <n v="2.0249999999999999"/>
    <n v="0.20000000000000284"/>
    <s v="otwór windy"/>
    <n v="5.7003749999999993"/>
    <n v="16.399999999999999"/>
    <n v="16.600000000000001"/>
    <n v="1.1400750000000162"/>
    <n v="1.1400750000000162"/>
    <m/>
  </r>
  <r>
    <x v="0"/>
    <x v="4"/>
    <n v="1"/>
    <s v="PŁ.ŻB.WIN gr. 20cm"/>
    <n v="2.87"/>
    <n v="2.0249999999999999"/>
    <n v="0.20000000000000284"/>
    <s v="otwór windy"/>
    <n v="5.81175"/>
    <n v="16.399999999999999"/>
    <n v="16.600000000000001"/>
    <n v="1.1623500000000164"/>
    <n v="1.162350000000016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63608-9C2A-48CD-9729-0247E21C15DA}" name="Tabela przestawna2" cacheId="22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B55:D91" firstHeaderRow="0" firstDataRow="1" firstDataCol="1"/>
  <pivotFields count="14">
    <pivotField axis="axisRow" showAll="0">
      <items count="12">
        <item m="1" x="6"/>
        <item m="1" x="7"/>
        <item m="1" x="9"/>
        <item m="1" x="10"/>
        <item m="1" x="5"/>
        <item m="1" x="8"/>
        <item x="0"/>
        <item x="1"/>
        <item x="2"/>
        <item x="3"/>
        <item x="4"/>
        <item t="default"/>
      </items>
    </pivotField>
    <pivotField showAll="0"/>
    <pivotField dataField="1" showAll="0"/>
    <pivotField axis="axisRow" showAll="0" sortType="ascending">
      <items count="49">
        <item x="0"/>
        <item m="1" x="46"/>
        <item x="1"/>
        <item x="2"/>
        <item x="3"/>
        <item x="4"/>
        <item x="5"/>
        <item x="6"/>
        <item x="7"/>
        <item m="1" x="30"/>
        <item m="1" x="39"/>
        <item m="1" x="40"/>
        <item m="1" x="31"/>
        <item x="8"/>
        <item m="1" x="32"/>
        <item m="1" x="41"/>
        <item m="1" x="42"/>
        <item m="1" x="33"/>
        <item x="9"/>
        <item m="1" x="34"/>
        <item m="1" x="35"/>
        <item m="1" x="36"/>
        <item m="1" x="37"/>
        <item m="1" x="43"/>
        <item m="1" x="44"/>
        <item m="1" x="38"/>
        <item x="10"/>
        <item x="11"/>
        <item x="12"/>
        <item x="13"/>
        <item x="14"/>
        <item m="1" x="45"/>
        <item m="1" x="4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numFmtId="164" showAll="0"/>
    <pivotField showAll="0"/>
    <pivotField showAll="0"/>
    <pivotField showAll="0"/>
    <pivotField numFmtId="164" showAll="0"/>
    <pivotField dataField="1" numFmtId="164" showAll="0"/>
    <pivotField showAll="0"/>
    <pivotField showAll="0"/>
  </pivotFields>
  <rowFields count="2">
    <field x="0"/>
    <field x="3"/>
  </rowFields>
  <rowItems count="36">
    <i>
      <x v="6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</i>
    <i r="1">
      <x v="8"/>
    </i>
    <i r="1">
      <x v="13"/>
    </i>
    <i r="1">
      <x v="18"/>
    </i>
    <i r="1">
      <x v="26"/>
    </i>
    <i r="1">
      <x v="27"/>
    </i>
    <i r="1">
      <x v="28"/>
    </i>
    <i>
      <x v="8"/>
    </i>
    <i r="1">
      <x v="29"/>
    </i>
    <i r="1">
      <x v="30"/>
    </i>
    <i r="1">
      <x v="33"/>
    </i>
    <i>
      <x v="9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10"/>
    </i>
    <i r="1">
      <x v="46"/>
    </i>
    <i r="1"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zt." fld="2" baseField="0" baseItem="0"/>
    <dataField name="Suma z V [m3]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5A192-D279-45F1-BBB5-135AB459F02D}" name="Tabela przestawna1" cacheId="22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B64:D105" firstHeaderRow="0" firstDataRow="1" firstDataCol="1"/>
  <pivotFields count="11">
    <pivotField axis="axisRow" showAll="0">
      <items count="6">
        <item x="2"/>
        <item x="0"/>
        <item x="3"/>
        <item m="1" x="4"/>
        <item x="1"/>
        <item t="default"/>
      </items>
    </pivotField>
    <pivotField axis="axisRow" showAll="0" sortType="ascending">
      <items count="38">
        <item x="0"/>
        <item x="1"/>
        <item x="2"/>
        <item x="3"/>
        <item x="4"/>
        <item x="5"/>
        <item x="13"/>
        <item x="14"/>
        <item x="15"/>
        <item x="6"/>
        <item x="7"/>
        <item x="8"/>
        <item x="9"/>
        <item x="10"/>
        <item x="11"/>
        <item x="12"/>
        <item x="18"/>
        <item x="19"/>
        <item x="20"/>
        <item x="16"/>
        <item m="1" x="35"/>
        <item x="21"/>
        <item m="1" x="3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17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showAll="0"/>
  </pivotFields>
  <rowFields count="2">
    <field x="0"/>
    <field x="1"/>
  </rowFields>
  <rowItems count="41">
    <i>
      <x/>
    </i>
    <i r="1">
      <x v="6"/>
    </i>
    <i r="1">
      <x v="7"/>
    </i>
    <i r="1">
      <x v="8"/>
    </i>
    <i r="1">
      <x v="16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z V [m3]2" fld="8" subtotal="count" baseField="1" baseItem="6"/>
    <dataField name="Suma z V [m3]" fld="8" baseField="1" baseItem="1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D2CE3-63AF-4902-BC98-AFD723BB8EA6}" name="Tabela przestawna1" cacheId="22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C109:F207" firstHeaderRow="0" firstDataRow="1" firstDataCol="1"/>
  <pivotFields count="14">
    <pivotField axis="axisRow" showAll="0" sortType="ascending">
      <items count="13">
        <item m="1" x="7"/>
        <item m="1" x="11"/>
        <item x="0"/>
        <item m="1" x="10"/>
        <item x="5"/>
        <item x="2"/>
        <item m="1" x="8"/>
        <item x="1"/>
        <item x="4"/>
        <item m="1" x="6"/>
        <item x="3"/>
        <item m="1" x="9"/>
        <item t="default"/>
      </items>
    </pivotField>
    <pivotField showAll="0"/>
    <pivotField dataField="1" showAll="0"/>
    <pivotField axis="axisRow" showAll="0" sortType="ascending">
      <items count="105">
        <item x="76"/>
        <item x="77"/>
        <item m="1" x="91"/>
        <item x="0"/>
        <item x="1"/>
        <item x="2"/>
        <item x="3"/>
        <item x="4"/>
        <item m="1" x="103"/>
        <item x="73"/>
        <item x="74"/>
        <item x="75"/>
        <item m="1" x="92"/>
        <item x="5"/>
        <item x="6"/>
        <item x="7"/>
        <item x="8"/>
        <item m="1" x="93"/>
        <item x="9"/>
        <item x="10"/>
        <item x="11"/>
        <item x="12"/>
        <item x="13"/>
        <item x="14"/>
        <item x="15"/>
        <item x="16"/>
        <item x="17"/>
        <item m="1" x="94"/>
        <item x="18"/>
        <item x="19"/>
        <item x="20"/>
        <item x="21"/>
        <item m="1" x="95"/>
        <item x="22"/>
        <item x="23"/>
        <item x="24"/>
        <item x="25"/>
        <item x="26"/>
        <item m="1" x="96"/>
        <item x="27"/>
        <item x="28"/>
        <item x="29"/>
        <item x="30"/>
        <item x="31"/>
        <item x="32"/>
        <item x="33"/>
        <item x="34"/>
        <item x="35"/>
        <item m="1" x="97"/>
        <item x="36"/>
        <item x="37"/>
        <item x="38"/>
        <item x="39"/>
        <item x="40"/>
        <item x="41"/>
        <item m="1" x="98"/>
        <item x="42"/>
        <item x="43"/>
        <item x="44"/>
        <item m="1" x="99"/>
        <item x="45"/>
        <item x="46"/>
        <item x="47"/>
        <item x="48"/>
        <item x="49"/>
        <item x="50"/>
        <item m="1" x="100"/>
        <item x="51"/>
        <item x="52"/>
        <item x="53"/>
        <item x="54"/>
        <item x="55"/>
        <item x="56"/>
        <item m="1" x="101"/>
        <item x="57"/>
        <item x="58"/>
        <item x="59"/>
        <item x="60"/>
        <item x="61"/>
        <item m="1" x="102"/>
        <item x="62"/>
        <item x="63"/>
        <item x="64"/>
        <item x="65"/>
        <item x="66"/>
        <item x="67"/>
        <item x="68"/>
        <item x="69"/>
        <item x="70"/>
        <item x="71"/>
        <item x="72"/>
        <item x="87"/>
        <item x="89"/>
        <item x="88"/>
        <item x="90"/>
        <item x="78"/>
        <item x="79"/>
        <item x="80"/>
        <item x="81"/>
        <item x="84"/>
        <item x="85"/>
        <item x="86"/>
        <item x="82"/>
        <item x="83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dataField="1" numFmtId="164" showAll="0"/>
    <pivotField showAll="0"/>
  </pivotFields>
  <rowFields count="2">
    <field x="0"/>
    <field x="3"/>
  </rowFields>
  <rowItems count="98">
    <i>
      <x v="2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6"/>
    </i>
    <i r="1">
      <x v="57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4"/>
    </i>
    <i r="1">
      <x v="75"/>
    </i>
    <i r="1">
      <x v="76"/>
    </i>
    <i r="1">
      <x v="77"/>
    </i>
    <i r="1">
      <x v="78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102"/>
    </i>
    <i>
      <x v="4"/>
    </i>
    <i r="1">
      <x v="91"/>
    </i>
    <i r="1">
      <x v="92"/>
    </i>
    <i r="1">
      <x v="93"/>
    </i>
    <i r="1">
      <x v="94"/>
    </i>
    <i>
      <x v="5"/>
    </i>
    <i r="1">
      <x v="97"/>
    </i>
    <i r="1">
      <x v="98"/>
    </i>
    <i>
      <x v="7"/>
    </i>
    <i r="1">
      <x v="95"/>
    </i>
    <i r="1">
      <x v="96"/>
    </i>
    <i>
      <x v="8"/>
    </i>
    <i r="1">
      <x v="99"/>
    </i>
    <i r="1">
      <x v="100"/>
    </i>
    <i r="1">
      <x v="101"/>
    </i>
    <i>
      <x v="10"/>
    </i>
    <i r="1">
      <x v="10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Szt." fld="2" baseField="0" baseItem="0"/>
    <dataField name="Suma z Vj [m3]" fld="11" baseField="3" baseItem="5" numFmtId="165"/>
    <dataField name="Suma z V [m3]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4A2AA-A617-4CDC-BD3D-B8B2774581F2}" name="Tabela przestawna1" cacheId="23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C24:E28" firstHeaderRow="0" firstDataRow="1" firstDataCol="1"/>
  <pivotFields count="14">
    <pivotField axis="axisRow" showAll="0" sortType="ascending">
      <items count="4">
        <item x="1"/>
        <item x="2"/>
        <item x="0"/>
        <item t="default"/>
      </items>
    </pivotField>
    <pivotField showAll="0"/>
    <pivotField dataField="1" showAll="0"/>
    <pivotField showAll="0" sortType="ascending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dataField="1" numFmtId="164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zt." fld="2" baseField="0" baseItem="0"/>
    <dataField name="Suma z V [m3]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1F2F8-FF3E-45B7-84DB-C8D548C81C3A}" name="Tabela przestawna1" cacheId="23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B67:D92" firstHeaderRow="0" firstDataRow="1" firstDataCol="1"/>
  <pivotFields count="14">
    <pivotField axis="axisRow" showAll="0">
      <items count="3">
        <item x="0"/>
        <item x="1"/>
        <item t="default"/>
      </items>
    </pivotField>
    <pivotField showAll="0"/>
    <pivotField axis="axisRow" showAll="0" sortType="ascending">
      <items count="23">
        <item x="1"/>
        <item x="0"/>
        <item x="2"/>
        <item x="3"/>
        <item x="4"/>
        <item x="6"/>
        <item x="5"/>
        <item x="8"/>
        <item x="7"/>
        <item x="10"/>
        <item x="9"/>
        <item x="12"/>
        <item x="11"/>
        <item x="13"/>
        <item x="14"/>
        <item x="15"/>
        <item x="20"/>
        <item x="19"/>
        <item x="21"/>
        <item x="17"/>
        <item x="16"/>
        <item x="18"/>
        <item t="default"/>
      </items>
    </pivotField>
    <pivotField dataField="1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showAll="0"/>
  </pivotFields>
  <rowFields count="2">
    <field x="0"/>
    <field x="2"/>
  </rowFields>
  <rowItems count="25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zt." fld="3" baseField="0" baseItem="0"/>
    <dataField name="Suma z V [m3]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31BB4-951E-493E-8C14-E9D9849A0B08}" name="Tabela przestawna1" cacheId="23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C159:E183" firstHeaderRow="0" firstDataRow="1" firstDataCol="1"/>
  <pivotFields count="14">
    <pivotField axis="axisRow" showAll="0" sortType="ascending">
      <items count="8">
        <item x="4"/>
        <item x="0"/>
        <item x="5"/>
        <item m="1" x="6"/>
        <item x="3"/>
        <item x="2"/>
        <item x="1"/>
        <item t="default"/>
      </items>
    </pivotField>
    <pivotField axis="axisRow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  <pivotField showAll="0" sortType="ascending"/>
    <pivotField showAll="0"/>
    <pivotField showAll="0"/>
    <pivotField showAll="0"/>
    <pivotField numFmtId="164" showAll="0"/>
    <pivotField showAll="0"/>
    <pivotField showAll="0"/>
    <pivotField numFmtId="164" showAll="0"/>
    <pivotField dataField="1" numFmtId="164" showAll="0"/>
    <pivotField showAll="0"/>
    <pivotField showAll="0"/>
  </pivotFields>
  <rowFields count="2">
    <field x="1"/>
    <field x="0"/>
  </rowFields>
  <rowItems count="24">
    <i>
      <x/>
    </i>
    <i r="1">
      <x v="1"/>
    </i>
    <i r="1">
      <x v="2"/>
    </i>
    <i r="1">
      <x v="5"/>
    </i>
    <i r="1">
      <x v="6"/>
    </i>
    <i>
      <x v="1"/>
    </i>
    <i r="1">
      <x v="1"/>
    </i>
    <i r="1">
      <x v="2"/>
    </i>
    <i r="1">
      <x v="5"/>
    </i>
    <i r="1">
      <x v="6"/>
    </i>
    <i>
      <x v="2"/>
    </i>
    <i r="1">
      <x v="1"/>
    </i>
    <i r="1">
      <x v="2"/>
    </i>
    <i r="1">
      <x v="5"/>
    </i>
    <i r="1">
      <x v="6"/>
    </i>
    <i>
      <x v="3"/>
    </i>
    <i r="1">
      <x v="1"/>
    </i>
    <i r="1">
      <x v="2"/>
    </i>
    <i r="1">
      <x v="4"/>
    </i>
    <i r="1">
      <x v="5"/>
    </i>
    <i r="1">
      <x v="6"/>
    </i>
    <i>
      <x v="5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zt." fld="2" baseField="0" baseItem="0"/>
    <dataField name="Suma z V [m3]" fld="11" baseField="0" baseItem="6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A7546-9B94-4034-9723-9A0E3AB82941}" name="Tabela przestawna1" cacheId="23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65:G77" firstHeaderRow="0" firstDataRow="1" firstDataCol="1"/>
  <pivotFields count="14">
    <pivotField axis="axisRow" showAll="0" sortType="ascending">
      <items count="3">
        <item x="1"/>
        <item x="0"/>
        <item t="default"/>
      </items>
    </pivotField>
    <pivotField axis="axisRow" showAll="0">
      <items count="11">
        <item m="1" x="5"/>
        <item m="1" x="6"/>
        <item m="1" x="7"/>
        <item m="1" x="8"/>
        <item m="1" x="9"/>
        <item x="0"/>
        <item x="1"/>
        <item x="2"/>
        <item x="3"/>
        <item x="4"/>
        <item t="default"/>
      </items>
    </pivotField>
    <pivotField dataField="1" showAll="0"/>
    <pivotField showAll="0" sortType="ascending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dataField="1" numFmtId="164" showAll="0"/>
    <pivotField showAll="0"/>
  </pivotFields>
  <rowFields count="2">
    <field x="0"/>
    <field x="1"/>
  </rowFields>
  <rowItems count="12">
    <i>
      <x/>
    </i>
    <i r="1">
      <x v="5"/>
    </i>
    <i r="1">
      <x v="6"/>
    </i>
    <i r="1">
      <x v="7"/>
    </i>
    <i r="1">
      <x v="8"/>
    </i>
    <i>
      <x v="1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zt." fld="2" baseField="0" baseItem="0"/>
    <dataField name="Suma z V [m3]" fld="12" baseField="1" baseItem="3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FD81F-B246-452D-BC42-904442A4493E}" name="Tabela przestawna1" cacheId="23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C33:E50" firstHeaderRow="0" firstDataRow="1" firstDataCol="1"/>
  <pivotFields count="14">
    <pivotField axis="axisRow" showAll="0" sortType="ascending">
      <items count="5">
        <item x="2"/>
        <item x="0"/>
        <item x="1"/>
        <item m="1" x="3"/>
        <item t="default"/>
      </items>
    </pivotField>
    <pivotField axis="axisRow" showAll="0" sortType="ascending">
      <items count="7">
        <item x="0"/>
        <item x="1"/>
        <item x="2"/>
        <item x="3"/>
        <item x="4"/>
        <item m="1" x="5"/>
        <item t="default"/>
      </items>
    </pivotField>
    <pivotField dataField="1" showAll="0"/>
    <pivotField showAll="0" sortType="ascending"/>
    <pivotField showAll="0"/>
    <pivotField showAll="0"/>
    <pivotField showAll="0"/>
    <pivotField numFmtId="164" showAll="0"/>
    <pivotField showAll="0"/>
    <pivotField showAll="0"/>
    <pivotField numFmtId="164" showAll="0"/>
    <pivotField dataField="1" numFmtId="164" showAll="0"/>
    <pivotField showAll="0"/>
    <pivotField showAll="0"/>
  </pivotFields>
  <rowFields count="2">
    <field x="1"/>
    <field x="0"/>
  </rowFields>
  <rowItems count="17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2"/>
    </i>
    <i>
      <x v="3"/>
    </i>
    <i r="1">
      <x/>
    </i>
    <i r="1">
      <x v="2"/>
    </i>
    <i>
      <x v="4"/>
    </i>
    <i r="1">
      <x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zt." fld="2" baseField="0" baseItem="0"/>
    <dataField name="Suma z V [m3]" fld="11" baseField="0" baseItem="6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765E4-58A5-4FB1-B035-40F1C4DE3C61}" name="Tabela przestawna1" cacheId="23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C18:E31" firstHeaderRow="0" firstDataRow="1" firstDataCol="1"/>
  <pivotFields count="14">
    <pivotField showAll="0" sortType="ascending"/>
    <pivotField axis="axisRow" showAll="0" sortType="ascending">
      <items count="6">
        <item x="0"/>
        <item x="1"/>
        <item x="2"/>
        <item x="3"/>
        <item m="1" x="4"/>
        <item t="default"/>
      </items>
    </pivotField>
    <pivotField dataField="1" showAll="0"/>
    <pivotField axis="axisRow" showAll="0" sortType="ascending">
      <items count="7">
        <item x="0"/>
        <item x="1"/>
        <item x="2"/>
        <item x="3"/>
        <item x="4"/>
        <item m="1" x="5"/>
        <item t="default"/>
      </items>
    </pivotField>
    <pivotField showAll="0"/>
    <pivotField showAll="0"/>
    <pivotField showAll="0"/>
    <pivotField numFmtId="164" showAll="0"/>
    <pivotField showAll="0"/>
    <pivotField showAll="0"/>
    <pivotField numFmtId="164" showAll="0"/>
    <pivotField dataField="1" numFmtId="164" showAll="0"/>
    <pivotField showAll="0"/>
    <pivotField showAll="0"/>
  </pivotFields>
  <rowFields count="2">
    <field x="1"/>
    <field x="3"/>
  </rowFields>
  <rowItems count="13">
    <i>
      <x/>
    </i>
    <i r="1">
      <x/>
    </i>
    <i r="1">
      <x v="1"/>
    </i>
    <i>
      <x v="1"/>
    </i>
    <i r="1">
      <x v="2"/>
    </i>
    <i r="1">
      <x v="3"/>
    </i>
    <i>
      <x v="2"/>
    </i>
    <i r="1">
      <x v="3"/>
    </i>
    <i r="1">
      <x v="4"/>
    </i>
    <i>
      <x v="3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zt." fld="2" baseField="0" baseItem="0"/>
    <dataField name="Suma z V [m3]" fld="11" baseField="0" baseItem="6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78D90-CA49-4EB8-B197-8B86EF205030}" name="Tabela_Fundamenty" displayName="Tabela_Fundamenty" ref="B5:O49">
  <autoFilter ref="B5:O49" xr:uid="{DC278D90-CA49-4EB8-B197-8B86EF205030}">
    <filterColumn colId="0">
      <filters>
        <filter val="Stopy fund."/>
      </filters>
    </filterColumn>
  </autoFilter>
  <sortState xmlns:xlrd2="http://schemas.microsoft.com/office/spreadsheetml/2017/richdata2" ref="B6:M45">
    <sortCondition ref="E5:E45"/>
  </sortState>
  <tableColumns count="14">
    <tableColumn id="7" xr3:uid="{873F2E08-8FB6-4B63-A4F6-6C51322D20CC}" name="Rodzaj elementu" totalsRowLabel="Suma"/>
    <tableColumn id="12" xr3:uid="{BC92B630-0025-4289-8076-D0C4BDBBEA0A}" name="Kondygnacja"/>
    <tableColumn id="13" xr3:uid="{275C953A-5552-4E6E-8850-165A89DAE014}" name="Szt."/>
    <tableColumn id="1" xr3:uid="{7E32087B-A51F-4B94-A1A2-9CD7CB2CFCF8}" name="Nazwa elementu" totalsRowFunction="count"/>
    <tableColumn id="2" xr3:uid="{96D56761-F935-4E6F-B0AA-D9292582BDE2}" name="L [m]"/>
    <tableColumn id="3" xr3:uid="{AD4A0158-E6EB-46E1-A452-8B6DA309C3D0}" name="B [m]"/>
    <tableColumn id="8" xr3:uid="{F675B10E-D775-41D9-9D76-63438F84E678}" name="A [m2]" dataDxfId="86">
      <calculatedColumnFormula>PRODUCT(B6:G6)</calculatedColumnFormula>
    </tableColumn>
    <tableColumn id="10" xr3:uid="{775013BC-2C38-4BFE-AAF1-67278E867B97}" name="hd" dataDxfId="85"/>
    <tableColumn id="11" xr3:uid="{E2B68F17-6443-49E6-AC2D-52B0BD23CF2D}" name="hg" dataDxfId="84"/>
    <tableColumn id="4" xr3:uid="{C89F772C-EA4A-4697-9FE8-B21D258EDBCD}" name="h [m]"/>
    <tableColumn id="14" xr3:uid="{16D40B82-A54C-4A78-8E63-1EA0C7D4F7E2}" name="Vj [m3]" dataDxfId="83">
      <calculatedColumnFormula>PRODUCT(Tabela_Fundamenty[[#This Row],[A '[m2']]],Tabela_Fundamenty[[#This Row],[h '[m']]])</calculatedColumnFormula>
    </tableColumn>
    <tableColumn id="5" xr3:uid="{F0DF68A8-00B7-4396-800E-1B444020F57E}" name="V [m3]" totalsRowFunction="sum" dataDxfId="82" totalsRowDxfId="81">
      <calculatedColumnFormula>PRODUCT(Tabela_Fundamenty[[#This Row],[Szt.]],Tabela_Fundamenty[[#This Row],[Vj '[m3']]])</calculatedColumnFormula>
    </tableColumn>
    <tableColumn id="6" xr3:uid="{62031107-EE25-4ED6-A9CA-40845BB56D4D}" name="Uwagi"/>
    <tableColumn id="9" xr3:uid="{C7E8B060-9E73-4117-8453-A8561C1E80F2}" name="Wg zestawienia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78C5E-E6D7-4F93-8D15-DF32C2251B9B}" name="Tabela_Piony_0" displayName="Tabela_Piony_0" ref="B13:O60">
  <autoFilter ref="B13:O60" xr:uid="{DC278D90-CA49-4EB8-B197-8B86EF205030}"/>
  <tableColumns count="14">
    <tableColumn id="7" xr3:uid="{64F5FD28-1757-4C6A-A27A-38D90CED7344}" name="Rodzaj elementu" totalsRowLabel="Suma"/>
    <tableColumn id="12" xr3:uid="{105A1B39-6EA1-44BB-BCFD-0B5915CECCA4}" name="Kondygnacja"/>
    <tableColumn id="13" xr3:uid="{D77D8E6F-6137-43D8-B342-D594198859E8}" name="Szt."/>
    <tableColumn id="1" xr3:uid="{8C27C11F-4A6C-4EB1-A619-56A172825255}" name="Nazwa elementu" totalsRowFunction="count"/>
    <tableColumn id="2" xr3:uid="{8B84F28C-56DB-497B-AFB9-D13588FEDC82}" name="L [m]"/>
    <tableColumn id="3" xr3:uid="{9CBF6C46-E32C-458A-9E89-583632A7B20E}" name="B [m]"/>
    <tableColumn id="8" xr3:uid="{A6EEA6D2-1CF7-42FB-9658-5E986E9D80C7}" name="A [m2]" dataDxfId="80">
      <calculatedColumnFormula>PRODUCT(B14:G14)</calculatedColumnFormula>
    </tableColumn>
    <tableColumn id="9" xr3:uid="{BE35C32E-1C2F-4BAE-9728-2ECB10AA7908}" name="hd" dataDxfId="79"/>
    <tableColumn id="6" xr3:uid="{72415EF0-9288-41C0-A334-80D169B58ED9}" name="hg" dataDxfId="78"/>
    <tableColumn id="4" xr3:uid="{748AE605-E17B-41AE-A7CB-D46990B0615B}" name="h [m]"/>
    <tableColumn id="5" xr3:uid="{E6E2218A-F012-403C-BCE8-45622012B634}" name="Vj [m3]" totalsRowFunction="sum" dataDxfId="77" totalsRowDxfId="76">
      <calculatedColumnFormula>PRODUCT(H14:K14)</calculatedColumnFormula>
    </tableColumn>
    <tableColumn id="14" xr3:uid="{0700F387-8A42-4283-9C84-2AA77E7A3D6E}" name="V [m3]" dataDxfId="75" totalsRowDxfId="74">
      <calculatedColumnFormula>PRODUCT(Tabela_Piony_0[[#This Row],[Szt.]],Tabela_Piony_0[[#This Row],[Vj '[m3']]])</calculatedColumnFormula>
    </tableColumn>
    <tableColumn id="10" xr3:uid="{3465842A-B3E7-404A-B461-2231ABC9C29F}" name="Uwagi" dataDxfId="73"/>
    <tableColumn id="11" xr3:uid="{CC231434-E888-4ACA-90B0-02014FD9C9B3}" name="Wg zestawienia" dataDxfId="72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3ED211-771D-45F6-82BA-133F209C7905}" name="Tabela_Belki_0" displayName="Tabela_Belki_0" ref="B5:O105">
  <autoFilter ref="B5:O105" xr:uid="{DC278D90-CA49-4EB8-B197-8B86EF205030}"/>
  <tableColumns count="14">
    <tableColumn id="7" xr3:uid="{2439D713-06D5-49A3-A826-9B8F9325F478}" name="Rodzaj elementu" totalsRowLabel="Suma"/>
    <tableColumn id="12" xr3:uid="{32C1919F-EC1F-4444-8E5D-AA5990AC1218}" name="Kondygnacja"/>
    <tableColumn id="13" xr3:uid="{169AB25B-A235-4222-A49A-14FD571E61F8}" name="Szt."/>
    <tableColumn id="1" xr3:uid="{B6B18139-F255-48EE-BC8F-87A8DF83427B}" name="Nazwa elementu" totalsRowFunction="count"/>
    <tableColumn id="2" xr3:uid="{93188A69-BCC6-4499-8EEF-5445A9C6C1AF}" name="L [m]"/>
    <tableColumn id="3" xr3:uid="{9738EF71-B18C-4F35-8E50-106AB0BF8F41}" name="B [m]"/>
    <tableColumn id="4" xr3:uid="{AE032DEA-7241-4854-8B6B-214A201B61AA}" name="h [m]" dataDxfId="71">
      <calculatedColumnFormula>Tabela_Belki_0[[#This Row],[hg]]-Tabela_Belki_0[[#This Row],[hd]]</calculatedColumnFormula>
    </tableColumn>
    <tableColumn id="10" xr3:uid="{18C3A545-1847-4AF7-A72D-E67D5D89F32B}" name="Uwagi" dataDxfId="70"/>
    <tableColumn id="8" xr3:uid="{057B3D8E-6ED3-4A1D-9B34-D21751EC66DC}" name="A [m2]" dataDxfId="69">
      <calculatedColumnFormula>PRODUCT(F6:G6)</calculatedColumnFormula>
    </tableColumn>
    <tableColumn id="9" xr3:uid="{07969235-22B0-4D5A-AE0D-048876D7B701}" name="hd" dataDxfId="68"/>
    <tableColumn id="6" xr3:uid="{D63A2E91-1B50-4F3F-8060-834AD1097610}" name="hg" dataDxfId="67"/>
    <tableColumn id="5" xr3:uid="{04E48030-0E97-4DF9-855D-188271278057}" name="Vj [m3]" totalsRowFunction="sum" dataDxfId="66" totalsRowDxfId="65">
      <calculatedColumnFormula>Tabela_Belki_0[[#This Row],[h '[m']]]*Tabela_Belki_0[[#This Row],[A '[m2']]]</calculatedColumnFormula>
    </tableColumn>
    <tableColumn id="14" xr3:uid="{9A0CFF53-DEC5-4791-8B6B-493AC409F6DF}" name="V [m3]" dataDxfId="64" totalsRowDxfId="63">
      <calculatedColumnFormula>PRODUCT(Tabela_Belki_0[[#This Row],[Szt.]],Tabela_Belki_0[[#This Row],[Vj '[m3']]])</calculatedColumnFormula>
    </tableColumn>
    <tableColumn id="11" xr3:uid="{35CDBA08-156C-4772-9CB3-2DE448ACC258}" name="Wg zestawienia" dataDxfId="62"/>
  </tableColumns>
  <tableStyleInfo name="TableStyleLight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19398F-6AA9-4758-AE70-28377AA7D867}" name="Tabela_Strop_0" displayName="Tabela_Strop_0" ref="B5:O20">
  <autoFilter ref="B5:O20" xr:uid="{DC278D90-CA49-4EB8-B197-8B86EF205030}"/>
  <tableColumns count="14">
    <tableColumn id="7" xr3:uid="{C3A23858-AADD-48EC-8EC1-333681D674EB}" name="Rodzaj elementu" totalsRowLabel="Suma"/>
    <tableColumn id="12" xr3:uid="{93389D01-E34B-4719-80FA-11BDB3465B84}" name="Kondygnacja"/>
    <tableColumn id="13" xr3:uid="{EBAD3F12-8C81-4DAC-83DB-C8B420E199ED}" name="Szt."/>
    <tableColumn id="1" xr3:uid="{7BD627AB-84AA-49AF-9373-033ADFFA4820}" name="Nazwa elementu" totalsRowFunction="count"/>
    <tableColumn id="2" xr3:uid="{CA50C616-331F-4178-B927-F728725C9C08}" name="L [m]"/>
    <tableColumn id="3" xr3:uid="{A6FDF650-9A72-44B5-B738-A193A970F57B}" name="B [m]"/>
    <tableColumn id="4" xr3:uid="{8F8160F4-4C59-40EA-8107-B94FBCD81BAC}" name="h [m]" dataDxfId="61">
      <calculatedColumnFormula>Tabela_Strop_0[[#This Row],[hg]]-Tabela_Strop_0[[#This Row],[hd]]</calculatedColumnFormula>
    </tableColumn>
    <tableColumn id="10" xr3:uid="{A3D346CC-37ED-4D3B-907E-38A68D2346E2}" name="Uwagi" dataDxfId="60"/>
    <tableColumn id="8" xr3:uid="{FFF9CDE6-804E-45C0-B5BA-7FC860985199}" name="A [m2]" dataDxfId="59">
      <calculatedColumnFormula>PRODUCT(F6:G6)</calculatedColumnFormula>
    </tableColumn>
    <tableColumn id="9" xr3:uid="{FE82BA3A-A73D-4A0B-B6F6-3E875C14D1CE}" name="hd" dataDxfId="58"/>
    <tableColumn id="6" xr3:uid="{DDE7D36E-E469-48CD-AE8C-10C13FD47BCA}" name="hg" dataDxfId="57"/>
    <tableColumn id="5" xr3:uid="{C79A0969-95D1-4A11-BB1F-22F1F110D9D7}" name="Vj [m3]" totalsRowFunction="sum" dataDxfId="56" totalsRowDxfId="55">
      <calculatedColumnFormula>Tabela_Strop_0[[#This Row],[h '[m']]]*Tabela_Strop_0[[#This Row],[A '[m2']]]</calculatedColumnFormula>
    </tableColumn>
    <tableColumn id="14" xr3:uid="{089247B8-0B66-411E-9B27-16DD99F53E13}" name="V [m3]" dataDxfId="54" totalsRowDxfId="53">
      <calculatedColumnFormula>PRODUCT(Tabela_Strop_0[[#This Row],[Szt.]],Tabela_Strop_0[[#This Row],[Vj '[m3']]])</calculatedColumnFormula>
    </tableColumn>
    <tableColumn id="11" xr3:uid="{289D2145-0B9D-4CF1-8C29-0AE88433B15E}" name="Wg zestawienia" dataDxfId="52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675F19-D801-4FC2-8FF8-0EE112758BB5}" name="Tabela_Piony_N" displayName="Tabela_Piony_N" ref="B14:O63">
  <autoFilter ref="B14:O63" xr:uid="{DC278D90-CA49-4EB8-B197-8B86EF205030}"/>
  <tableColumns count="14">
    <tableColumn id="7" xr3:uid="{D08D2BBE-9746-406C-B15D-B308675313E1}" name="Rodzaj elementu" totalsRowLabel="Suma"/>
    <tableColumn id="13" xr3:uid="{2DFEEAC1-291F-4768-9CFF-CCE55DADA4AB}" name="Kondygnacja"/>
    <tableColumn id="1" xr3:uid="{6DE76931-93CC-4ACC-8C53-421417F40542}" name="Nazwa elementu" totalsRowFunction="count"/>
    <tableColumn id="12" xr3:uid="{F7C72E72-022A-4C05-B56E-AAB5F64DBEBD}" name="Szt."/>
    <tableColumn id="2" xr3:uid="{4FED5106-D60B-4BD5-9DB9-8D5691B33A60}" name="L [m]"/>
    <tableColumn id="3" xr3:uid="{AA046938-3C74-4816-9B1C-83884CCB9D7B}" name="B [m]"/>
    <tableColumn id="8" xr3:uid="{EF9E6143-8F55-4117-8948-356FF7CABEBB}" name="A [m2]" dataDxfId="51">
      <calculatedColumnFormula>Tabela_Piony_N[[#This Row],[L '[m']]]*Tabela_Piony_N[[#This Row],[B '[m']]]</calculatedColumnFormula>
    </tableColumn>
    <tableColumn id="9" xr3:uid="{081B7A24-4673-4A07-886E-AABE7BC1DEFA}" name="hd" dataDxfId="50"/>
    <tableColumn id="6" xr3:uid="{2F0EDB25-FC4D-4375-A480-66841B3F6623}" name="hg" dataDxfId="49"/>
    <tableColumn id="4" xr3:uid="{7AC2FB7D-C40E-4869-BD1E-6C3626F9A121}" name="h [m]">
      <calculatedColumnFormula>Tabela_Piony_N[[#This Row],[hg]]-Tabela_Piony_N[[#This Row],[hd]]</calculatedColumnFormula>
    </tableColumn>
    <tableColumn id="5" xr3:uid="{7316C793-A134-4EDE-8BB5-DF4767FD07EE}" name="Vj [m3]" totalsRowFunction="sum" dataDxfId="48" totalsRowDxfId="47">
      <calculatedColumnFormula>PRODUCT(Tabela_Piony_N[[#This Row],[A '[m2']]],Tabela_Piony_N[[#This Row],[h '[m']]])</calculatedColumnFormula>
    </tableColumn>
    <tableColumn id="14" xr3:uid="{BBBC02FE-3DF1-4A58-A42E-A1716C41D2BA}" name="V [m3]" dataDxfId="46" totalsRowDxfId="45">
      <calculatedColumnFormula>PRODUCT(Tabela_Piony_N[[#This Row],[Szt.]],Tabela_Piony_N[[#This Row],[Vj '[m3']]])</calculatedColumnFormula>
    </tableColumn>
    <tableColumn id="10" xr3:uid="{303AA267-9AE4-4B5A-BE19-6E8090551FC4}" name="Uwagi" dataDxfId="44"/>
    <tableColumn id="11" xr3:uid="{C5BD4D79-1C70-4ABD-8F06-6B6A366F47F1}" name="Wg zestawienia" dataDxfId="43"/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DAB05C-3B89-459D-83CB-2D124953A7D9}" name="Tabela_Belki_N" displayName="Tabela_Belki_N" ref="B15:O155">
  <autoFilter ref="B15:O155" xr:uid="{DC278D90-CA49-4EB8-B197-8B86EF205030}"/>
  <tableColumns count="14">
    <tableColumn id="7" xr3:uid="{B885E0ED-B38F-4D92-8FCE-6C257238E0D5}" name="Rodzaj elementu" totalsRowLabel="Suma"/>
    <tableColumn id="12" xr3:uid="{E8B58303-49C0-4232-BA68-6D5F7D827E34}" name="Kondygnacja"/>
    <tableColumn id="13" xr3:uid="{9A6098CA-8171-4581-8B7E-4DEADCA877B9}" name="Szt."/>
    <tableColumn id="1" xr3:uid="{93A41393-2DB4-4E9C-AB7C-C84786F6C30F}" name="Nazwa elementu" totalsRowFunction="count"/>
    <tableColumn id="2" xr3:uid="{1CCF9B9D-220F-4E64-AEBA-A5477E4D8317}" name="L [m]"/>
    <tableColumn id="3" xr3:uid="{485B7388-DEB9-403E-A5FA-84A4A0455C93}" name="B [m]"/>
    <tableColumn id="4" xr3:uid="{E1980BB1-7607-44B2-954D-CCE3041147B9}" name="h [m]" dataDxfId="42">
      <calculatedColumnFormula>Tabela_Belki_N[[#This Row],[hg]]-Tabela_Belki_N[[#This Row],[hd]]</calculatedColumnFormula>
    </tableColumn>
    <tableColumn id="8" xr3:uid="{C4A96E6E-857F-4BA7-8545-7810C78F2865}" name="A [m2]" dataDxfId="41">
      <calculatedColumnFormula>PRODUCT(F16:G16)</calculatedColumnFormula>
    </tableColumn>
    <tableColumn id="9" xr3:uid="{B347C5B8-CCB1-40D2-90F0-B2DF6C7E1204}" name="hd" dataDxfId="40"/>
    <tableColumn id="6" xr3:uid="{DF86FCF0-EA20-4DAB-9402-35388018DC2A}" name="hg" dataDxfId="39"/>
    <tableColumn id="5" xr3:uid="{85198334-A6C8-45F1-8BC5-B63C91E689B3}" name="Vj [m3]" totalsRowFunction="sum" dataDxfId="38" totalsRowDxfId="37">
      <calculatedColumnFormula>PRODUCT(Tabela_Belki_N[[#This Row],[h '[m']]],Tabela_Belki_N[[#This Row],[A '[m2']]])</calculatedColumnFormula>
    </tableColumn>
    <tableColumn id="14" xr3:uid="{F0807D46-FB91-415D-A220-0C4348B934AB}" name="V [m3]" dataDxfId="36" totalsRowDxfId="35">
      <calculatedColumnFormula>PRODUCT(Tabela_Belki_N[[#This Row],[Szt.]],Tabela_Belki_N[[#This Row],[Vj '[m3']]])</calculatedColumnFormula>
    </tableColumn>
    <tableColumn id="10" xr3:uid="{AAE3AD37-7E00-40DF-A483-40B7BC941D4E}" name="Uwagi" dataDxfId="34" totalsRowDxfId="33"/>
    <tableColumn id="11" xr3:uid="{47222C58-3DE3-4129-B3D4-3A3EC7879426}" name="Wg zestawienia" dataDxfId="32"/>
  </tableColumns>
  <tableStyleInfo name="TableStyleLight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DDE2AA-C1E9-4CF6-BCE1-801D06247DD5}" name="Tabela_Stropy_N" displayName="Tabela_Stropy_N" ref="B10:O59">
  <autoFilter ref="B10:O59" xr:uid="{DC278D90-CA49-4EB8-B197-8B86EF205030}"/>
  <tableColumns count="14">
    <tableColumn id="7" xr3:uid="{285FC46A-7658-421F-9C60-5DCBE93E7DF6}" name="Rodzaj elementu" totalsRowLabel="Suma"/>
    <tableColumn id="12" xr3:uid="{4B0E5BBE-EF74-42E1-A35A-92916A6F1648}" name="Kondygnacja"/>
    <tableColumn id="13" xr3:uid="{3B324F83-B61D-4ACE-B4A3-9509F382F266}" name="Szt."/>
    <tableColumn id="1" xr3:uid="{F5EFE0B1-9230-48EE-993E-59AF9200A6E0}" name="Nazwa elementu" totalsRowFunction="count"/>
    <tableColumn id="2" xr3:uid="{7AF54E1F-6CDE-4825-A8B0-1C3C3DF9A8F6}" name="L [m]"/>
    <tableColumn id="3" xr3:uid="{F1BD5CB1-6E6E-47F0-884E-622A1A162E7C}" name="B [m]"/>
    <tableColumn id="4" xr3:uid="{35CAF6DC-971A-4712-8DF4-5751795289A0}" name="h [m]" dataDxfId="31">
      <calculatedColumnFormula>Tabela_Stropy_N[[#This Row],[hg]]-Tabela_Stropy_N[[#This Row],[hd]]</calculatedColumnFormula>
    </tableColumn>
    <tableColumn id="10" xr3:uid="{EB59756E-A15E-4681-9CE5-13320EC801A7}" name="Uwagi" dataDxfId="30"/>
    <tableColumn id="8" xr3:uid="{DFAAD98F-91FE-4FFD-845E-3674EA72EE27}" name="A [m2]" dataDxfId="29">
      <calculatedColumnFormula>PRODUCT(F11:G11)</calculatedColumnFormula>
    </tableColumn>
    <tableColumn id="9" xr3:uid="{7D1AD2CF-A47C-4FC0-AC75-581E8C04E588}" name="hd" dataDxfId="28"/>
    <tableColumn id="6" xr3:uid="{202A6917-245C-478C-98E2-294884BCD54C}" name="hg" dataDxfId="27"/>
    <tableColumn id="5" xr3:uid="{6C5E60D4-C6F3-43DE-8FF8-A81FE1E89C6C}" name="Vj [m3]" totalsRowFunction="sum" dataDxfId="26">
      <calculatedColumnFormula>PRODUCT(Tabela_Stropy_N[[#This Row],[A '[m2']]]*Tabela_Stropy_N[[#This Row],[h '[m']]])</calculatedColumnFormula>
    </tableColumn>
    <tableColumn id="14" xr3:uid="{BBEBD468-8F6D-4261-B26D-13D106B19A4C}" name="V [m3]" dataDxfId="25">
      <calculatedColumnFormula>PRODUCT(Tabela_Stropy_N[[#This Row],[Szt.]],Tabela_Stropy_N[[#This Row],[Vj '[m3']]])</calculatedColumnFormula>
    </tableColumn>
    <tableColumn id="11" xr3:uid="{F061E766-4C20-4287-8CBA-7C42D3AA3A68}" name="Wg zestawienia" dataDxfId="24"/>
  </tableColumns>
  <tableStyleInfo name="TableStyleLight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B0D728-4F0C-4E28-8928-6DD50791D906}" name="Tabela_Windy" displayName="Tabela_Windy" ref="B6:O29">
  <autoFilter ref="B6:O29" xr:uid="{DC278D90-CA49-4EB8-B197-8B86EF205030}"/>
  <tableColumns count="14">
    <tableColumn id="7" xr3:uid="{DA7FB02A-1EA6-4EB0-A790-428051B7026A}" name="Rodzaj elementu" totalsRowLabel="Suma"/>
    <tableColumn id="12" xr3:uid="{8B31C054-E270-4892-944E-A73F8F95B444}" name="Kondygnacja"/>
    <tableColumn id="13" xr3:uid="{F6E04AF6-6290-4905-9BD7-AE6B1B4A2991}" name="Szt."/>
    <tableColumn id="1" xr3:uid="{4716783F-21F3-49E1-A8EF-C24C3A16E8B9}" name="Nazwa elementu" totalsRowFunction="count"/>
    <tableColumn id="2" xr3:uid="{4A267FF8-E71C-4EF4-BD6F-163CA89B9861}" name="L [m]" dataDxfId="23">
      <calculatedColumnFormula>2.82*2+1.65*2</calculatedColumnFormula>
    </tableColumn>
    <tableColumn id="3" xr3:uid="{F1F1D4D8-00BF-463F-9F4F-F1AF8594EEED}" name="B [m]"/>
    <tableColumn id="4" xr3:uid="{C456C6D2-444C-4F71-9CDC-1FEAE05D9B91}" name="h [m]" dataDxfId="22">
      <calculatedColumnFormula>Tabela_Windy[[#This Row],[hg]]-Tabela_Windy[[#This Row],[hd]]</calculatedColumnFormula>
    </tableColumn>
    <tableColumn id="8" xr3:uid="{2C66373C-8ADD-4314-963A-11B978DE84E1}" name="A [m2]" dataDxfId="21">
      <calculatedColumnFormula>PRODUCT(F7:G7)</calculatedColumnFormula>
    </tableColumn>
    <tableColumn id="9" xr3:uid="{FD4B3A24-901B-4BDE-B061-27FC189FD77D}" name="hd" dataDxfId="20"/>
    <tableColumn id="6" xr3:uid="{654A0050-864C-4043-8E3F-13FD21EF9AD4}" name="hg" dataDxfId="19"/>
    <tableColumn id="5" xr3:uid="{DF8CCD6B-FFED-41DC-A3D8-496DBD1D3D25}" name="Vj [m3]" totalsRowFunction="sum" dataDxfId="18" totalsRowDxfId="17">
      <calculatedColumnFormula>PRODUCT(Tabela_Windy[[#This Row],[h '[m']]],Tabela_Windy[[#This Row],[A '[m2']]])</calculatedColumnFormula>
    </tableColumn>
    <tableColumn id="14" xr3:uid="{2AE85924-3F0E-4A3B-9D49-52AE17E5293D}" name="V [m3]" dataDxfId="16" totalsRowDxfId="15">
      <calculatedColumnFormula>PRODUCT(Tabela_Windy[[#This Row],[Szt.]],Tabela_Windy[[#This Row],[Vj '[m3']]])</calculatedColumnFormula>
    </tableColumn>
    <tableColumn id="10" xr3:uid="{14355A41-8ACA-43D3-82CB-13913145E7E7}" name="Uwagi" dataDxfId="14" totalsRowDxfId="13"/>
    <tableColumn id="11" xr3:uid="{300B3015-4A87-4F90-A1EC-5032C2D1ECBD}" name="Wg zestawienia" dataDxfId="12"/>
  </tableColumns>
  <tableStyleInfo name="TableStyleLight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F5A934-8E7C-466E-81BB-DA94616E7BF4}" name="Tabela_Schody" displayName="Tabela_Schody" ref="B6:O14">
  <autoFilter ref="B6:O14" xr:uid="{DC278D90-CA49-4EB8-B197-8B86EF205030}"/>
  <tableColumns count="14">
    <tableColumn id="7" xr3:uid="{1D038CDA-6B1E-4544-A73F-18570949C350}" name="Rodzaj elementu" totalsRowLabel="Suma"/>
    <tableColumn id="12" xr3:uid="{158A9CA0-B8D3-4CA7-A6F8-EB28FF88F7A1}" name="Kondygnacja"/>
    <tableColumn id="13" xr3:uid="{E0D60CAC-14AB-4A03-ABD5-B48F83D10085}" name="Szt."/>
    <tableColumn id="1" xr3:uid="{53CDD0C3-FC85-4ED4-8117-A959BF709814}" name="Nazwa elementu" totalsRowFunction="count"/>
    <tableColumn id="2" xr3:uid="{8607A940-E3B7-4688-92F6-412CC2936697}" name="L [m]" dataDxfId="11">
      <calculatedColumnFormula>2.82*2+1.65*2</calculatedColumnFormula>
    </tableColumn>
    <tableColumn id="3" xr3:uid="{62DAFA4D-E109-46D9-A7FE-A41C35985BCA}" name="B [m]"/>
    <tableColumn id="4" xr3:uid="{DA43D4BD-1E36-459A-9246-FE0EEC422317}" name="h [m]" dataDxfId="10">
      <calculatedColumnFormula>Tabela_Schody[[#This Row],[hg]]-Tabela_Schody[[#This Row],[hd]]</calculatedColumnFormula>
    </tableColumn>
    <tableColumn id="8" xr3:uid="{6AD760EB-203A-40F5-BD1C-77C8F564C2CB}" name="A [m2]" dataDxfId="9">
      <calculatedColumnFormula>PRODUCT(F7:G7)</calculatedColumnFormula>
    </tableColumn>
    <tableColumn id="9" xr3:uid="{A22A105B-53B0-4F84-8826-AE60D3711867}" name="hd" dataDxfId="8"/>
    <tableColumn id="6" xr3:uid="{A85445FB-9270-4D16-B59C-89D64F7D21B5}" name="hg" dataDxfId="7"/>
    <tableColumn id="5" xr3:uid="{69508E11-03FB-44AD-A9C8-F63847115049}" name="Vj [m3]" totalsRowFunction="sum" dataDxfId="6" totalsRowDxfId="5">
      <calculatedColumnFormula>PRODUCT(Tabela_Schody[[#This Row],[h '[m']]],Tabela_Schody[[#This Row],[A '[m2']]])</calculatedColumnFormula>
    </tableColumn>
    <tableColumn id="14" xr3:uid="{CF8853A6-21F8-4068-8CA3-D80D953983B0}" name="V [m3]" dataDxfId="4" totalsRowDxfId="3">
      <calculatedColumnFormula>PRODUCT(Tabela_Schody[[#This Row],[Szt.]],Tabela_Schody[[#This Row],[Vj '[m3']]])</calculatedColumnFormula>
    </tableColumn>
    <tableColumn id="10" xr3:uid="{45A7A3E8-51A0-49FF-BBF8-5DF58B0574F7}" name="Uwagi" dataDxfId="2" totalsRowDxfId="1"/>
    <tableColumn id="11" xr3:uid="{C47607F8-3372-44FF-96F7-C58A694917B1}" name="Wg zestawienia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C437-2BA5-4809-9A86-048BE351A396}">
  <dimension ref="B3:O91"/>
  <sheetViews>
    <sheetView topLeftCell="A71" zoomScale="85" zoomScaleNormal="85" workbookViewId="0">
      <selection activeCell="B86" sqref="B86:D86"/>
    </sheetView>
  </sheetViews>
  <sheetFormatPr defaultRowHeight="14.4" x14ac:dyDescent="0.3"/>
  <cols>
    <col min="2" max="2" width="24" bestFit="1" customWidth="1"/>
    <col min="3" max="3" width="16.109375" customWidth="1"/>
    <col min="4" max="5" width="13.21875" bestFit="1" customWidth="1"/>
    <col min="6" max="6" width="9.88671875" customWidth="1"/>
    <col min="7" max="7" width="9.109375" customWidth="1"/>
    <col min="8" max="8" width="10.5546875" customWidth="1"/>
    <col min="11" max="12" width="13.5546875" customWidth="1"/>
    <col min="13" max="13" width="18" customWidth="1"/>
  </cols>
  <sheetData>
    <row r="3" spans="2:15" x14ac:dyDescent="0.3">
      <c r="B3" s="6" t="s">
        <v>0</v>
      </c>
      <c r="C3" s="7"/>
      <c r="D3" s="7"/>
      <c r="E3" s="7"/>
    </row>
    <row r="5" spans="2:15" x14ac:dyDescent="0.3">
      <c r="B5" t="s">
        <v>18</v>
      </c>
      <c r="C5" t="s">
        <v>222</v>
      </c>
      <c r="D5" t="s">
        <v>221</v>
      </c>
      <c r="E5" t="s">
        <v>4</v>
      </c>
      <c r="F5" t="s">
        <v>26</v>
      </c>
      <c r="G5" t="s">
        <v>25</v>
      </c>
      <c r="H5" t="s">
        <v>24</v>
      </c>
      <c r="I5" t="s">
        <v>83</v>
      </c>
      <c r="J5" t="s">
        <v>38</v>
      </c>
      <c r="K5" t="s">
        <v>27</v>
      </c>
      <c r="L5" t="s">
        <v>309</v>
      </c>
      <c r="M5" t="s">
        <v>28</v>
      </c>
      <c r="N5" t="s">
        <v>82</v>
      </c>
      <c r="O5" t="s">
        <v>72</v>
      </c>
    </row>
    <row r="6" spans="2:15" hidden="1" x14ac:dyDescent="0.3">
      <c r="B6" t="s">
        <v>170</v>
      </c>
      <c r="C6" t="s">
        <v>169</v>
      </c>
      <c r="E6" t="s">
        <v>22</v>
      </c>
      <c r="F6">
        <v>17.27</v>
      </c>
      <c r="G6">
        <v>2</v>
      </c>
      <c r="H6" s="1">
        <f>PRODUCT(F6:G6)</f>
        <v>34.54</v>
      </c>
      <c r="I6" s="1">
        <v>-1.4</v>
      </c>
      <c r="J6" s="1">
        <v>-1</v>
      </c>
      <c r="K6" s="1">
        <f>Tabela_Fundamenty[[#This Row],[hg]]-Tabela_Fundamenty[[#This Row],[hd]]</f>
        <v>0.39999999999999991</v>
      </c>
      <c r="L6" s="1">
        <f>PRODUCT(Tabela_Fundamenty[[#This Row],[A '[m2']]],Tabela_Fundamenty[[#This Row],[h '[m']]])</f>
        <v>13.815999999999997</v>
      </c>
      <c r="M6" s="1">
        <f>PRODUCT(Tabela_Fundamenty[[#This Row],[Szt.]],Tabela_Fundamenty[[#This Row],[Vj '[m3']]])</f>
        <v>13.815999999999997</v>
      </c>
      <c r="O6">
        <f>26.8*0.4*2</f>
        <v>21.44</v>
      </c>
    </row>
    <row r="7" spans="2:15" hidden="1" x14ac:dyDescent="0.3">
      <c r="B7" t="s">
        <v>170</v>
      </c>
      <c r="C7" t="s">
        <v>169</v>
      </c>
      <c r="E7" t="s">
        <v>22</v>
      </c>
      <c r="H7" s="1">
        <v>11.148999999999999</v>
      </c>
      <c r="I7" s="1">
        <v>-1.4</v>
      </c>
      <c r="J7" s="1">
        <v>-1</v>
      </c>
      <c r="K7" s="1">
        <f>Tabela_Fundamenty[[#This Row],[hg]]-Tabela_Fundamenty[[#This Row],[hd]]</f>
        <v>0.39999999999999991</v>
      </c>
      <c r="L7" s="1">
        <f>PRODUCT(Tabela_Fundamenty[[#This Row],[A '[m2']]],Tabela_Fundamenty[[#This Row],[h '[m']]])</f>
        <v>4.4595999999999982</v>
      </c>
      <c r="M7" s="1">
        <f>PRODUCT(Tabela_Fundamenty[[#This Row],[Szt.]],Tabela_Fundamenty[[#This Row],[Vj '[m3']]])</f>
        <v>4.4595999999999982</v>
      </c>
    </row>
    <row r="8" spans="2:15" hidden="1" x14ac:dyDescent="0.3">
      <c r="B8" t="s">
        <v>170</v>
      </c>
      <c r="C8" t="s">
        <v>169</v>
      </c>
      <c r="E8" t="s">
        <v>31</v>
      </c>
      <c r="H8" s="1">
        <v>19.905000000000001</v>
      </c>
      <c r="I8" s="1">
        <v>-2.2999999999999998</v>
      </c>
      <c r="J8" s="1">
        <v>-1.9</v>
      </c>
      <c r="K8" s="1">
        <f>Tabela_Fundamenty[[#This Row],[hg]]-Tabela_Fundamenty[[#This Row],[hd]]</f>
        <v>0.39999999999999991</v>
      </c>
      <c r="L8" s="1">
        <f>PRODUCT(Tabela_Fundamenty[[#This Row],[A '[m2']]],Tabela_Fundamenty[[#This Row],[h '[m']]])</f>
        <v>7.9619999999999989</v>
      </c>
      <c r="M8" s="1">
        <f>PRODUCT(Tabela_Fundamenty[[#This Row],[Szt.]],Tabela_Fundamenty[[#This Row],[Vj '[m3']]])</f>
        <v>7.9619999999999989</v>
      </c>
      <c r="O8">
        <f>14.8*1.7*0.4</f>
        <v>10.064</v>
      </c>
    </row>
    <row r="9" spans="2:15" hidden="1" x14ac:dyDescent="0.3">
      <c r="B9" t="s">
        <v>170</v>
      </c>
      <c r="C9" t="s">
        <v>169</v>
      </c>
      <c r="E9" t="s">
        <v>31</v>
      </c>
      <c r="H9" s="1">
        <v>10.2331</v>
      </c>
      <c r="I9" s="1">
        <v>-2.2999999999999998</v>
      </c>
      <c r="J9" s="1">
        <v>-1.9</v>
      </c>
      <c r="K9" s="1">
        <f>Tabela_Fundamenty[[#This Row],[hg]]-Tabela_Fundamenty[[#This Row],[hd]]</f>
        <v>0.39999999999999991</v>
      </c>
      <c r="L9" s="1">
        <f>PRODUCT(Tabela_Fundamenty[[#This Row],[A '[m2']]],Tabela_Fundamenty[[#This Row],[h '[m']]])</f>
        <v>4.0932399999999989</v>
      </c>
      <c r="M9" s="1">
        <f>PRODUCT(Tabela_Fundamenty[[#This Row],[Szt.]],Tabela_Fundamenty[[#This Row],[Vj '[m3']]])</f>
        <v>4.0932399999999989</v>
      </c>
    </row>
    <row r="10" spans="2:15" hidden="1" x14ac:dyDescent="0.3">
      <c r="B10" t="s">
        <v>170</v>
      </c>
      <c r="C10" t="s">
        <v>169</v>
      </c>
      <c r="E10" t="s">
        <v>19</v>
      </c>
      <c r="F10">
        <v>8.31</v>
      </c>
      <c r="G10">
        <v>1.5</v>
      </c>
      <c r="H10" s="1">
        <f t="shared" ref="H10:H12" si="0">PRODUCT(F10:G10)</f>
        <v>12.465</v>
      </c>
      <c r="I10" s="1">
        <v>-1.4</v>
      </c>
      <c r="J10" s="1">
        <v>-1</v>
      </c>
      <c r="K10" s="1">
        <f>Tabela_Fundamenty[[#This Row],[hg]]-Tabela_Fundamenty[[#This Row],[hd]]</f>
        <v>0.39999999999999991</v>
      </c>
      <c r="L10" s="1">
        <f>PRODUCT(Tabela_Fundamenty[[#This Row],[A '[m2']]],Tabela_Fundamenty[[#This Row],[h '[m']]])</f>
        <v>4.9859999999999989</v>
      </c>
      <c r="M10" s="1">
        <f>PRODUCT(Tabela_Fundamenty[[#This Row],[Szt.]],Tabela_Fundamenty[[#This Row],[Vj '[m3']]])</f>
        <v>4.9859999999999989</v>
      </c>
      <c r="O10">
        <f>9.3*0.4*1.5</f>
        <v>5.580000000000001</v>
      </c>
    </row>
    <row r="11" spans="2:15" hidden="1" x14ac:dyDescent="0.3">
      <c r="B11" t="s">
        <v>170</v>
      </c>
      <c r="C11" t="s">
        <v>169</v>
      </c>
      <c r="E11" t="s">
        <v>23</v>
      </c>
      <c r="F11">
        <v>1.65</v>
      </c>
      <c r="G11">
        <v>1.4</v>
      </c>
      <c r="H11" s="1">
        <f t="shared" si="0"/>
        <v>2.3099999999999996</v>
      </c>
      <c r="I11" s="1">
        <v>-1.4</v>
      </c>
      <c r="J11" s="1">
        <v>-1</v>
      </c>
      <c r="K11" s="1">
        <f>Tabela_Fundamenty[[#This Row],[hg]]-Tabela_Fundamenty[[#This Row],[hd]]</f>
        <v>0.39999999999999991</v>
      </c>
      <c r="L11" s="1">
        <f>PRODUCT(Tabela_Fundamenty[[#This Row],[A '[m2']]],Tabela_Fundamenty[[#This Row],[h '[m']]])</f>
        <v>0.9239999999999996</v>
      </c>
      <c r="M11" s="1">
        <f>PRODUCT(Tabela_Fundamenty[[#This Row],[Szt.]],Tabela_Fundamenty[[#This Row],[Vj '[m3']]])</f>
        <v>0.9239999999999996</v>
      </c>
      <c r="O11" s="5">
        <f>7.6*0.4*1.4</f>
        <v>4.2559999999999993</v>
      </c>
    </row>
    <row r="12" spans="2:15" hidden="1" x14ac:dyDescent="0.3">
      <c r="B12" t="s">
        <v>170</v>
      </c>
      <c r="C12" t="s">
        <v>169</v>
      </c>
      <c r="E12" t="s">
        <v>20</v>
      </c>
      <c r="F12">
        <v>8.4</v>
      </c>
      <c r="G12">
        <v>1.2</v>
      </c>
      <c r="H12" s="1">
        <f t="shared" si="0"/>
        <v>10.08</v>
      </c>
      <c r="I12" s="1">
        <v>-1.4</v>
      </c>
      <c r="J12" s="1">
        <v>-1</v>
      </c>
      <c r="K12" s="1">
        <f>Tabela_Fundamenty[[#This Row],[hg]]-Tabela_Fundamenty[[#This Row],[hd]]</f>
        <v>0.39999999999999991</v>
      </c>
      <c r="L12" s="1">
        <f>PRODUCT(Tabela_Fundamenty[[#This Row],[A '[m2']]],Tabela_Fundamenty[[#This Row],[h '[m']]])</f>
        <v>4.0319999999999991</v>
      </c>
      <c r="M12" s="1">
        <f>PRODUCT(Tabela_Fundamenty[[#This Row],[Szt.]],Tabela_Fundamenty[[#This Row],[Vj '[m3']]])</f>
        <v>4.0319999999999991</v>
      </c>
      <c r="O12">
        <f>17.2*1.2*0.4</f>
        <v>8.2559999999999985</v>
      </c>
    </row>
    <row r="13" spans="2:15" hidden="1" x14ac:dyDescent="0.3">
      <c r="B13" t="s">
        <v>170</v>
      </c>
      <c r="C13" t="s">
        <v>169</v>
      </c>
      <c r="E13" t="s">
        <v>20</v>
      </c>
      <c r="H13" s="1">
        <v>14.627700000000001</v>
      </c>
      <c r="I13" s="1">
        <v>-1.4</v>
      </c>
      <c r="J13" s="1">
        <v>-1</v>
      </c>
      <c r="K13" s="1">
        <f>Tabela_Fundamenty[[#This Row],[hg]]-Tabela_Fundamenty[[#This Row],[hd]]</f>
        <v>0.39999999999999991</v>
      </c>
      <c r="L13" s="1">
        <f>PRODUCT(Tabela_Fundamenty[[#This Row],[A '[m2']]],Tabela_Fundamenty[[#This Row],[h '[m']]])</f>
        <v>5.8510799999999987</v>
      </c>
      <c r="M13" s="1">
        <f>PRODUCT(Tabela_Fundamenty[[#This Row],[Szt.]],Tabela_Fundamenty[[#This Row],[Vj '[m3']]])</f>
        <v>5.8510799999999987</v>
      </c>
    </row>
    <row r="14" spans="2:15" hidden="1" x14ac:dyDescent="0.3">
      <c r="B14" t="s">
        <v>170</v>
      </c>
      <c r="C14" t="s">
        <v>169</v>
      </c>
      <c r="E14" t="s">
        <v>21</v>
      </c>
      <c r="F14">
        <v>76.489999999999995</v>
      </c>
      <c r="G14">
        <v>0.7</v>
      </c>
      <c r="H14" s="1">
        <f t="shared" ref="H14:H21" si="1">PRODUCT(F14:G14)</f>
        <v>53.542999999999992</v>
      </c>
      <c r="I14" s="1">
        <v>-1.4</v>
      </c>
      <c r="J14" s="1">
        <v>-1</v>
      </c>
      <c r="K14" s="1">
        <f>Tabela_Fundamenty[[#This Row],[hg]]-Tabela_Fundamenty[[#This Row],[hd]]</f>
        <v>0.39999999999999991</v>
      </c>
      <c r="L14" s="1">
        <f>PRODUCT(Tabela_Fundamenty[[#This Row],[A '[m2']]],Tabela_Fundamenty[[#This Row],[h '[m']]])</f>
        <v>21.41719999999999</v>
      </c>
      <c r="M14" s="1">
        <f>PRODUCT(Tabela_Fundamenty[[#This Row],[Szt.]],Tabela_Fundamenty[[#This Row],[Vj '[m3']]])</f>
        <v>21.41719999999999</v>
      </c>
      <c r="O14">
        <f>82*0.4*0.7</f>
        <v>22.96</v>
      </c>
    </row>
    <row r="15" spans="2:15" hidden="1" x14ac:dyDescent="0.3">
      <c r="B15" t="s">
        <v>170</v>
      </c>
      <c r="C15" t="s">
        <v>169</v>
      </c>
      <c r="E15" t="s">
        <v>33</v>
      </c>
      <c r="F15">
        <v>16.53</v>
      </c>
      <c r="G15">
        <v>0.7</v>
      </c>
      <c r="H15" s="1">
        <f t="shared" si="1"/>
        <v>11.571</v>
      </c>
      <c r="I15" s="1">
        <v>-2.5</v>
      </c>
      <c r="J15" s="1">
        <v>-2</v>
      </c>
      <c r="K15" s="1">
        <f>Tabela_Fundamenty[[#This Row],[hg]]-Tabela_Fundamenty[[#This Row],[hd]]</f>
        <v>0.5</v>
      </c>
      <c r="L15" s="1">
        <f>PRODUCT(Tabela_Fundamenty[[#This Row],[A '[m2']]],Tabela_Fundamenty[[#This Row],[h '[m']]])</f>
        <v>5.7854999999999999</v>
      </c>
      <c r="M15" s="1">
        <f>PRODUCT(Tabela_Fundamenty[[#This Row],[Szt.]],Tabela_Fundamenty[[#This Row],[Vj '[m3']]])</f>
        <v>5.7854999999999999</v>
      </c>
      <c r="O15">
        <f>17*0.5*0.7</f>
        <v>5.9499999999999993</v>
      </c>
    </row>
    <row r="16" spans="2:15" hidden="1" x14ac:dyDescent="0.3">
      <c r="B16" t="s">
        <v>171</v>
      </c>
      <c r="C16" t="s">
        <v>169</v>
      </c>
      <c r="D16">
        <v>1</v>
      </c>
      <c r="E16" t="s">
        <v>9</v>
      </c>
      <c r="F16">
        <v>7.05</v>
      </c>
      <c r="G16">
        <v>8.73</v>
      </c>
      <c r="H16" s="1">
        <f t="shared" si="1"/>
        <v>61.546500000000002</v>
      </c>
      <c r="I16" s="1"/>
      <c r="J16" s="1"/>
      <c r="K16">
        <v>0.4</v>
      </c>
      <c r="L16" s="1">
        <f>PRODUCT(Tabela_Fundamenty[[#This Row],[A '[m2']]],Tabela_Fundamenty[[#This Row],[h '[m']]])</f>
        <v>24.618600000000001</v>
      </c>
      <c r="M16" s="1">
        <f>PRODUCT(Tabela_Fundamenty[[#This Row],[Szt.]],Tabela_Fundamenty[[#This Row],[Vj '[m3']]])</f>
        <v>24.618600000000001</v>
      </c>
    </row>
    <row r="17" spans="2:14" hidden="1" x14ac:dyDescent="0.3">
      <c r="B17" t="s">
        <v>171</v>
      </c>
      <c r="C17" t="s">
        <v>169</v>
      </c>
      <c r="E17" t="s">
        <v>9</v>
      </c>
      <c r="F17">
        <v>3.8149999999999999</v>
      </c>
      <c r="G17">
        <v>3.0249999999999999</v>
      </c>
      <c r="H17" s="1">
        <f t="shared" si="1"/>
        <v>11.540374999999999</v>
      </c>
      <c r="I17" s="1"/>
      <c r="J17" s="1"/>
      <c r="K17">
        <v>0.1</v>
      </c>
      <c r="L17" s="1">
        <f>PRODUCT(Tabela_Fundamenty[[#This Row],[A '[m2']]],Tabela_Fundamenty[[#This Row],[h '[m']]])</f>
        <v>1.1540375</v>
      </c>
      <c r="M17" s="1">
        <f>PRODUCT(Tabela_Fundamenty[[#This Row],[Szt.]],Tabela_Fundamenty[[#This Row],[Vj '[m3']]])</f>
        <v>1.1540375</v>
      </c>
      <c r="N17" t="s">
        <v>85</v>
      </c>
    </row>
    <row r="18" spans="2:14" hidden="1" x14ac:dyDescent="0.3">
      <c r="B18" t="s">
        <v>171</v>
      </c>
      <c r="C18" t="s">
        <v>169</v>
      </c>
      <c r="E18" t="s">
        <v>9</v>
      </c>
      <c r="F18">
        <v>2.4550000000000001</v>
      </c>
      <c r="G18">
        <v>1.665</v>
      </c>
      <c r="H18" s="1">
        <f t="shared" si="1"/>
        <v>4.0875750000000002</v>
      </c>
      <c r="I18" s="1"/>
      <c r="J18" s="1"/>
      <c r="K18">
        <v>-0.1</v>
      </c>
      <c r="L18" s="1">
        <f>PRODUCT(Tabela_Fundamenty[[#This Row],[A '[m2']]],Tabela_Fundamenty[[#This Row],[h '[m']]])</f>
        <v>-0.40875750000000005</v>
      </c>
      <c r="M18" s="1">
        <f>PRODUCT(Tabela_Fundamenty[[#This Row],[Szt.]],Tabela_Fundamenty[[#This Row],[Vj '[m3']]])</f>
        <v>-0.40875750000000005</v>
      </c>
      <c r="N18" t="s">
        <v>84</v>
      </c>
    </row>
    <row r="19" spans="2:14" hidden="1" x14ac:dyDescent="0.3">
      <c r="B19" t="s">
        <v>171</v>
      </c>
      <c r="C19" t="s">
        <v>169</v>
      </c>
      <c r="D19">
        <v>1</v>
      </c>
      <c r="E19" t="s">
        <v>10</v>
      </c>
      <c r="F19">
        <v>7.05</v>
      </c>
      <c r="G19">
        <v>8.73</v>
      </c>
      <c r="H19" s="1">
        <f t="shared" si="1"/>
        <v>61.546500000000002</v>
      </c>
      <c r="I19" s="1"/>
      <c r="J19" s="1"/>
      <c r="K19">
        <v>0.4</v>
      </c>
      <c r="L19" s="1">
        <f>PRODUCT(Tabela_Fundamenty[[#This Row],[A '[m2']]],Tabela_Fundamenty[[#This Row],[h '[m']]])</f>
        <v>24.618600000000001</v>
      </c>
      <c r="M19" s="1">
        <f>PRODUCT(Tabela_Fundamenty[[#This Row],[Szt.]],Tabela_Fundamenty[[#This Row],[Vj '[m3']]])</f>
        <v>24.618600000000001</v>
      </c>
    </row>
    <row r="20" spans="2:14" hidden="1" x14ac:dyDescent="0.3">
      <c r="B20" t="s">
        <v>171</v>
      </c>
      <c r="C20" t="s">
        <v>169</v>
      </c>
      <c r="E20" t="s">
        <v>10</v>
      </c>
      <c r="F20">
        <v>3.8149999999999999</v>
      </c>
      <c r="G20">
        <v>3.02</v>
      </c>
      <c r="H20" s="1">
        <f t="shared" si="1"/>
        <v>11.5213</v>
      </c>
      <c r="I20" s="1"/>
      <c r="J20" s="1"/>
      <c r="K20">
        <v>0.1</v>
      </c>
      <c r="L20" s="1">
        <f>PRODUCT(Tabela_Fundamenty[[#This Row],[A '[m2']]],Tabela_Fundamenty[[#This Row],[h '[m']]])</f>
        <v>1.1521300000000001</v>
      </c>
      <c r="M20" s="1">
        <f>PRODUCT(Tabela_Fundamenty[[#This Row],[Szt.]],Tabela_Fundamenty[[#This Row],[Vj '[m3']]])</f>
        <v>1.1521300000000001</v>
      </c>
      <c r="N20" t="s">
        <v>85</v>
      </c>
    </row>
    <row r="21" spans="2:14" hidden="1" x14ac:dyDescent="0.3">
      <c r="B21" t="s">
        <v>171</v>
      </c>
      <c r="C21" t="s">
        <v>169</v>
      </c>
      <c r="E21" t="s">
        <v>10</v>
      </c>
      <c r="F21">
        <v>2.4550000000000001</v>
      </c>
      <c r="G21">
        <v>1.665</v>
      </c>
      <c r="H21" s="1">
        <f t="shared" si="1"/>
        <v>4.0875750000000002</v>
      </c>
      <c r="I21" s="1"/>
      <c r="J21" s="1"/>
      <c r="K21">
        <v>-0.1</v>
      </c>
      <c r="L21" s="1">
        <f>PRODUCT(Tabela_Fundamenty[[#This Row],[A '[m2']]],Tabela_Fundamenty[[#This Row],[h '[m']]])</f>
        <v>-0.40875750000000005</v>
      </c>
      <c r="M21" s="1">
        <f>PRODUCT(Tabela_Fundamenty[[#This Row],[Szt.]],Tabela_Fundamenty[[#This Row],[Vj '[m3']]])</f>
        <v>-0.40875750000000005</v>
      </c>
      <c r="N21" t="s">
        <v>84</v>
      </c>
    </row>
    <row r="22" spans="2:14" hidden="1" x14ac:dyDescent="0.3">
      <c r="B22" t="s">
        <v>171</v>
      </c>
      <c r="C22" t="s">
        <v>169</v>
      </c>
      <c r="D22">
        <v>1</v>
      </c>
      <c r="E22" t="s">
        <v>88</v>
      </c>
      <c r="H22" s="1">
        <v>31.1509</v>
      </c>
      <c r="I22" s="1"/>
      <c r="J22" s="1"/>
      <c r="K22">
        <v>0.4</v>
      </c>
      <c r="L22" s="1">
        <f>PRODUCT(Tabela_Fundamenty[[#This Row],[A '[m2']]],Tabela_Fundamenty[[#This Row],[h '[m']]])</f>
        <v>12.460360000000001</v>
      </c>
      <c r="M22" s="1">
        <f>PRODUCT(Tabela_Fundamenty[[#This Row],[Szt.]],Tabela_Fundamenty[[#This Row],[Vj '[m3']]])</f>
        <v>12.460360000000001</v>
      </c>
      <c r="N22" t="s">
        <v>89</v>
      </c>
    </row>
    <row r="23" spans="2:14" hidden="1" x14ac:dyDescent="0.3">
      <c r="B23" t="s">
        <v>171</v>
      </c>
      <c r="C23" t="s">
        <v>169</v>
      </c>
      <c r="E23" t="s">
        <v>88</v>
      </c>
      <c r="H23" s="1">
        <v>7.1486999999999998</v>
      </c>
      <c r="I23" s="1"/>
      <c r="J23" s="1"/>
      <c r="K23">
        <v>1</v>
      </c>
      <c r="L23" s="1">
        <f>PRODUCT(Tabela_Fundamenty[[#This Row],[A '[m2']]],Tabela_Fundamenty[[#This Row],[h '[m']]])</f>
        <v>7.1486999999999998</v>
      </c>
      <c r="M23" s="1">
        <f>PRODUCT(Tabela_Fundamenty[[#This Row],[Szt.]],Tabela_Fundamenty[[#This Row],[Vj '[m3']]])</f>
        <v>7.1486999999999998</v>
      </c>
      <c r="N23" t="s">
        <v>90</v>
      </c>
    </row>
    <row r="24" spans="2:14" hidden="1" x14ac:dyDescent="0.3">
      <c r="B24" t="s">
        <v>171</v>
      </c>
      <c r="C24" t="s">
        <v>169</v>
      </c>
      <c r="E24" t="s">
        <v>88</v>
      </c>
      <c r="H24" s="1">
        <v>29.848400000000002</v>
      </c>
      <c r="I24" s="1"/>
      <c r="J24" s="1"/>
      <c r="K24">
        <v>0.4</v>
      </c>
      <c r="L24" s="1">
        <f>PRODUCT(Tabela_Fundamenty[[#This Row],[A '[m2']]],Tabela_Fundamenty[[#This Row],[h '[m']]])</f>
        <v>11.939360000000001</v>
      </c>
      <c r="M24" s="1">
        <f>PRODUCT(Tabela_Fundamenty[[#This Row],[Szt.]],Tabela_Fundamenty[[#This Row],[Vj '[m3']]])</f>
        <v>11.939360000000001</v>
      </c>
      <c r="N24" t="s">
        <v>91</v>
      </c>
    </row>
    <row r="25" spans="2:14" hidden="1" x14ac:dyDescent="0.3">
      <c r="B25" t="s">
        <v>171</v>
      </c>
      <c r="C25" t="s">
        <v>169</v>
      </c>
      <c r="E25" t="s">
        <v>88</v>
      </c>
      <c r="F25">
        <v>2.34</v>
      </c>
      <c r="G25">
        <v>3.87</v>
      </c>
      <c r="H25" s="1">
        <f t="shared" ref="H25:H28" si="2">PRODUCT(F25:G25)</f>
        <v>9.0557999999999996</v>
      </c>
      <c r="I25" s="1"/>
      <c r="J25" s="1"/>
      <c r="K25">
        <v>0.1</v>
      </c>
      <c r="L25" s="1">
        <f>PRODUCT(Tabela_Fundamenty[[#This Row],[A '[m2']]],Tabela_Fundamenty[[#This Row],[h '[m']]])</f>
        <v>0.90558000000000005</v>
      </c>
      <c r="M25" s="1">
        <f>PRODUCT(Tabela_Fundamenty[[#This Row],[Szt.]],Tabela_Fundamenty[[#This Row],[Vj '[m3']]])</f>
        <v>0.90558000000000005</v>
      </c>
      <c r="N25" t="s">
        <v>85</v>
      </c>
    </row>
    <row r="26" spans="2:14" hidden="1" x14ac:dyDescent="0.3">
      <c r="B26" t="s">
        <v>171</v>
      </c>
      <c r="C26" t="s">
        <v>169</v>
      </c>
      <c r="E26" t="s">
        <v>88</v>
      </c>
      <c r="F26">
        <v>1.66</v>
      </c>
      <c r="G26">
        <v>2.5099999999999998</v>
      </c>
      <c r="H26" s="1">
        <f t="shared" si="2"/>
        <v>4.1665999999999999</v>
      </c>
      <c r="I26" s="1"/>
      <c r="J26" s="1"/>
      <c r="K26">
        <v>-0.1</v>
      </c>
      <c r="L26" s="1">
        <f>PRODUCT(Tabela_Fundamenty[[#This Row],[A '[m2']]],Tabela_Fundamenty[[#This Row],[h '[m']]])</f>
        <v>-0.41666000000000003</v>
      </c>
      <c r="M26" s="1">
        <f>PRODUCT(Tabela_Fundamenty[[#This Row],[Szt.]],Tabela_Fundamenty[[#This Row],[Vj '[m3']]])</f>
        <v>-0.41666000000000003</v>
      </c>
      <c r="N26" t="s">
        <v>84</v>
      </c>
    </row>
    <row r="27" spans="2:14" hidden="1" x14ac:dyDescent="0.3">
      <c r="B27" t="s">
        <v>171</v>
      </c>
      <c r="C27" t="s">
        <v>169</v>
      </c>
      <c r="D27">
        <v>1</v>
      </c>
      <c r="E27" t="s">
        <v>3</v>
      </c>
      <c r="F27">
        <v>3</v>
      </c>
      <c r="G27">
        <v>11.5</v>
      </c>
      <c r="H27" s="1">
        <f t="shared" si="2"/>
        <v>34.5</v>
      </c>
      <c r="I27" s="1"/>
      <c r="J27" s="1"/>
      <c r="K27">
        <v>0.6</v>
      </c>
      <c r="L27" s="1">
        <f>PRODUCT(Tabela_Fundamenty[[#This Row],[A '[m2']]],Tabela_Fundamenty[[#This Row],[h '[m']]])</f>
        <v>20.7</v>
      </c>
      <c r="M27" s="1">
        <f>PRODUCT(Tabela_Fundamenty[[#This Row],[Szt.]],Tabela_Fundamenty[[#This Row],[Vj '[m3']]])</f>
        <v>20.7</v>
      </c>
    </row>
    <row r="28" spans="2:14" hidden="1" x14ac:dyDescent="0.3">
      <c r="B28" t="s">
        <v>171</v>
      </c>
      <c r="C28" t="s">
        <v>169</v>
      </c>
      <c r="D28">
        <v>1</v>
      </c>
      <c r="E28" t="s">
        <v>8</v>
      </c>
      <c r="F28">
        <v>2.8</v>
      </c>
      <c r="G28">
        <v>10.8</v>
      </c>
      <c r="H28" s="1">
        <f t="shared" si="2"/>
        <v>30.24</v>
      </c>
      <c r="I28" s="1"/>
      <c r="J28" s="1"/>
      <c r="K28">
        <v>0.5</v>
      </c>
      <c r="L28" s="1">
        <f>PRODUCT(Tabela_Fundamenty[[#This Row],[A '[m2']]],Tabela_Fundamenty[[#This Row],[h '[m']]])</f>
        <v>15.12</v>
      </c>
      <c r="M28" s="1">
        <f>PRODUCT(Tabela_Fundamenty[[#This Row],[Szt.]],Tabela_Fundamenty[[#This Row],[Vj '[m3']]])</f>
        <v>15.12</v>
      </c>
    </row>
    <row r="29" spans="2:14" hidden="1" x14ac:dyDescent="0.3">
      <c r="B29" t="s">
        <v>171</v>
      </c>
      <c r="C29" t="s">
        <v>169</v>
      </c>
      <c r="D29">
        <v>1</v>
      </c>
      <c r="E29" t="s">
        <v>32</v>
      </c>
      <c r="H29" s="1">
        <v>19.8538</v>
      </c>
      <c r="I29" s="1"/>
      <c r="J29" s="1"/>
      <c r="K29">
        <v>0.4</v>
      </c>
      <c r="L29" s="1">
        <f>PRODUCT(Tabela_Fundamenty[[#This Row],[A '[m2']]],Tabela_Fundamenty[[#This Row],[h '[m']]])</f>
        <v>7.9415200000000006</v>
      </c>
      <c r="M29" s="1">
        <f>PRODUCT(Tabela_Fundamenty[[#This Row],[Szt.]],Tabela_Fundamenty[[#This Row],[Vj '[m3']]])</f>
        <v>7.9415200000000006</v>
      </c>
    </row>
    <row r="30" spans="2:14" hidden="1" x14ac:dyDescent="0.3">
      <c r="B30" t="s">
        <v>173</v>
      </c>
      <c r="C30" t="s">
        <v>169</v>
      </c>
      <c r="D30">
        <v>1</v>
      </c>
      <c r="E30" t="s">
        <v>81</v>
      </c>
      <c r="H30" s="1">
        <v>1.0027999999999999</v>
      </c>
      <c r="I30" s="1"/>
      <c r="J30" s="1"/>
      <c r="K30">
        <v>1.4</v>
      </c>
      <c r="L30" s="1">
        <f>PRODUCT(Tabela_Fundamenty[[#This Row],[A '[m2']]],Tabela_Fundamenty[[#This Row],[h '[m']]])</f>
        <v>1.4039199999999998</v>
      </c>
      <c r="M30" s="1">
        <f>PRODUCT(Tabela_Fundamenty[[#This Row],[Szt.]],Tabela_Fundamenty[[#This Row],[Vj '[m3']]])</f>
        <v>1.4039199999999998</v>
      </c>
    </row>
    <row r="31" spans="2:14" hidden="1" x14ac:dyDescent="0.3">
      <c r="B31" t="s">
        <v>173</v>
      </c>
      <c r="C31" t="s">
        <v>169</v>
      </c>
      <c r="D31">
        <v>1</v>
      </c>
      <c r="E31" t="s">
        <v>30</v>
      </c>
      <c r="H31" s="1">
        <v>0.997</v>
      </c>
      <c r="I31" s="1"/>
      <c r="J31" s="1"/>
      <c r="K31">
        <v>2</v>
      </c>
      <c r="L31" s="1">
        <f>PRODUCT(Tabela_Fundamenty[[#This Row],[A '[m2']]],Tabela_Fundamenty[[#This Row],[h '[m']]])</f>
        <v>1.994</v>
      </c>
      <c r="M31" s="1">
        <f>PRODUCT(Tabela_Fundamenty[[#This Row],[Szt.]],Tabela_Fundamenty[[#This Row],[Vj '[m3']]])</f>
        <v>1.994</v>
      </c>
      <c r="N31" t="s">
        <v>92</v>
      </c>
    </row>
    <row r="32" spans="2:14" hidden="1" x14ac:dyDescent="0.3">
      <c r="B32" t="s">
        <v>173</v>
      </c>
      <c r="C32" t="s">
        <v>169</v>
      </c>
      <c r="D32">
        <v>1</v>
      </c>
      <c r="E32" t="s">
        <v>30</v>
      </c>
      <c r="H32" s="1">
        <v>0.997</v>
      </c>
      <c r="I32" s="1"/>
      <c r="J32" s="1"/>
      <c r="K32">
        <v>2</v>
      </c>
      <c r="L32" s="1">
        <f>PRODUCT(Tabela_Fundamenty[[#This Row],[A '[m2']]],Tabela_Fundamenty[[#This Row],[h '[m']]])</f>
        <v>1.994</v>
      </c>
      <c r="M32" s="1">
        <f>PRODUCT(Tabela_Fundamenty[[#This Row],[Szt.]],Tabela_Fundamenty[[#This Row],[Vj '[m3']]])</f>
        <v>1.994</v>
      </c>
    </row>
    <row r="33" spans="2:13" hidden="1" x14ac:dyDescent="0.3">
      <c r="B33" t="s">
        <v>173</v>
      </c>
      <c r="C33" t="s">
        <v>169</v>
      </c>
      <c r="D33">
        <v>1</v>
      </c>
      <c r="E33" t="s">
        <v>29</v>
      </c>
      <c r="H33" s="1">
        <v>1.0052000000000001</v>
      </c>
      <c r="I33" s="1"/>
      <c r="J33" s="1"/>
      <c r="K33">
        <v>0.7</v>
      </c>
      <c r="L33" s="1">
        <f>PRODUCT(Tabela_Fundamenty[[#This Row],[A '[m2']]],Tabela_Fundamenty[[#This Row],[h '[m']]])</f>
        <v>0.70364000000000004</v>
      </c>
      <c r="M33" s="1">
        <f>PRODUCT(Tabela_Fundamenty[[#This Row],[Szt.]],Tabela_Fundamenty[[#This Row],[Vj '[m3']]])</f>
        <v>0.70364000000000004</v>
      </c>
    </row>
    <row r="34" spans="2:13" x14ac:dyDescent="0.3">
      <c r="B34" t="s">
        <v>172</v>
      </c>
      <c r="C34" t="s">
        <v>169</v>
      </c>
      <c r="D34">
        <v>4</v>
      </c>
      <c r="E34" t="s">
        <v>12</v>
      </c>
      <c r="F34">
        <v>2.5</v>
      </c>
      <c r="G34">
        <v>2.5</v>
      </c>
      <c r="H34" s="1">
        <f t="shared" ref="H34:H44" si="3">PRODUCT(F34:G34)</f>
        <v>6.25</v>
      </c>
      <c r="I34" s="1"/>
      <c r="J34" s="1"/>
      <c r="K34">
        <v>0.5</v>
      </c>
      <c r="L34" s="1">
        <f>PRODUCT(Tabela_Fundamenty[[#This Row],[A '[m2']]],Tabela_Fundamenty[[#This Row],[h '[m']]])</f>
        <v>3.125</v>
      </c>
      <c r="M34" s="1">
        <f>PRODUCT(Tabela_Fundamenty[[#This Row],[Szt.]],Tabela_Fundamenty[[#This Row],[Vj '[m3']]])</f>
        <v>12.5</v>
      </c>
    </row>
    <row r="35" spans="2:13" x14ac:dyDescent="0.3">
      <c r="B35" t="s">
        <v>172</v>
      </c>
      <c r="C35" t="s">
        <v>169</v>
      </c>
      <c r="D35">
        <v>1</v>
      </c>
      <c r="E35" t="s">
        <v>7</v>
      </c>
      <c r="F35">
        <v>2.5</v>
      </c>
      <c r="G35">
        <v>2.5</v>
      </c>
      <c r="H35" s="1">
        <f t="shared" si="3"/>
        <v>6.25</v>
      </c>
      <c r="I35" s="1"/>
      <c r="J35" s="1"/>
      <c r="K35">
        <v>0.5</v>
      </c>
      <c r="L35" s="1">
        <f>PRODUCT(Tabela_Fundamenty[[#This Row],[A '[m2']]],Tabela_Fundamenty[[#This Row],[h '[m']]])</f>
        <v>3.125</v>
      </c>
      <c r="M35" s="1">
        <f>PRODUCT(Tabela_Fundamenty[[#This Row],[Szt.]],Tabela_Fundamenty[[#This Row],[Vj '[m3']]])</f>
        <v>3.125</v>
      </c>
    </row>
    <row r="36" spans="2:13" x14ac:dyDescent="0.3">
      <c r="B36" t="s">
        <v>172</v>
      </c>
      <c r="C36" t="s">
        <v>169</v>
      </c>
      <c r="D36">
        <v>2</v>
      </c>
      <c r="E36" t="s">
        <v>2</v>
      </c>
      <c r="F36">
        <v>3</v>
      </c>
      <c r="G36">
        <v>3</v>
      </c>
      <c r="H36" s="1">
        <f t="shared" si="3"/>
        <v>9</v>
      </c>
      <c r="I36" s="1"/>
      <c r="J36" s="1"/>
      <c r="K36">
        <v>0.6</v>
      </c>
      <c r="L36" s="1">
        <f>PRODUCT(Tabela_Fundamenty[[#This Row],[A '[m2']]],Tabela_Fundamenty[[#This Row],[h '[m']]])</f>
        <v>5.3999999999999995</v>
      </c>
      <c r="M36" s="1">
        <f>PRODUCT(Tabela_Fundamenty[[#This Row],[Szt.]],Tabela_Fundamenty[[#This Row],[Vj '[m3']]])</f>
        <v>10.799999999999999</v>
      </c>
    </row>
    <row r="37" spans="2:13" x14ac:dyDescent="0.3">
      <c r="B37" t="s">
        <v>172</v>
      </c>
      <c r="C37" t="s">
        <v>169</v>
      </c>
      <c r="D37">
        <v>2</v>
      </c>
      <c r="E37" t="s">
        <v>5</v>
      </c>
      <c r="F37">
        <v>3</v>
      </c>
      <c r="G37">
        <v>3</v>
      </c>
      <c r="H37" s="1">
        <f t="shared" si="3"/>
        <v>9</v>
      </c>
      <c r="I37" s="1"/>
      <c r="J37" s="1"/>
      <c r="K37">
        <v>0.6</v>
      </c>
      <c r="L37" s="1">
        <f>PRODUCT(Tabela_Fundamenty[[#This Row],[A '[m2']]],Tabela_Fundamenty[[#This Row],[h '[m']]])</f>
        <v>5.3999999999999995</v>
      </c>
      <c r="M37" s="1">
        <f>PRODUCT(Tabela_Fundamenty[[#This Row],[Szt.]],Tabela_Fundamenty[[#This Row],[Vj '[m3']]])</f>
        <v>10.799999999999999</v>
      </c>
    </row>
    <row r="38" spans="2:13" x14ac:dyDescent="0.3">
      <c r="B38" t="s">
        <v>172</v>
      </c>
      <c r="C38" t="s">
        <v>169</v>
      </c>
      <c r="D38">
        <v>1</v>
      </c>
      <c r="E38" t="s">
        <v>6</v>
      </c>
      <c r="F38">
        <v>3</v>
      </c>
      <c r="G38">
        <v>3</v>
      </c>
      <c r="H38" s="1">
        <f t="shared" si="3"/>
        <v>9</v>
      </c>
      <c r="I38" s="1"/>
      <c r="J38" s="1"/>
      <c r="K38">
        <v>0.6</v>
      </c>
      <c r="L38" s="1">
        <f>PRODUCT(Tabela_Fundamenty[[#This Row],[A '[m2']]],Tabela_Fundamenty[[#This Row],[h '[m']]])</f>
        <v>5.3999999999999995</v>
      </c>
      <c r="M38" s="1">
        <f>PRODUCT(Tabela_Fundamenty[[#This Row],[Szt.]],Tabela_Fundamenty[[#This Row],[Vj '[m3']]])</f>
        <v>5.3999999999999995</v>
      </c>
    </row>
    <row r="39" spans="2:13" x14ac:dyDescent="0.3">
      <c r="B39" t="s">
        <v>172</v>
      </c>
      <c r="C39" t="s">
        <v>169</v>
      </c>
      <c r="D39">
        <v>1</v>
      </c>
      <c r="E39" t="s">
        <v>11</v>
      </c>
      <c r="F39">
        <v>2.2000000000000002</v>
      </c>
      <c r="G39">
        <v>2.2000000000000002</v>
      </c>
      <c r="H39" s="1">
        <f t="shared" si="3"/>
        <v>4.8400000000000007</v>
      </c>
      <c r="I39" s="1"/>
      <c r="J39" s="1"/>
      <c r="K39">
        <v>0.4</v>
      </c>
      <c r="L39" s="1">
        <f>PRODUCT(Tabela_Fundamenty[[#This Row],[A '[m2']]],Tabela_Fundamenty[[#This Row],[h '[m']]])</f>
        <v>1.9360000000000004</v>
      </c>
      <c r="M39" s="1">
        <f>PRODUCT(Tabela_Fundamenty[[#This Row],[Szt.]],Tabela_Fundamenty[[#This Row],[Vj '[m3']]])</f>
        <v>1.9360000000000004</v>
      </c>
    </row>
    <row r="40" spans="2:13" x14ac:dyDescent="0.3">
      <c r="B40" t="s">
        <v>172</v>
      </c>
      <c r="C40" t="s">
        <v>169</v>
      </c>
      <c r="D40">
        <v>3</v>
      </c>
      <c r="E40" t="s">
        <v>1</v>
      </c>
      <c r="F40">
        <v>1.8</v>
      </c>
      <c r="G40">
        <v>1.8</v>
      </c>
      <c r="H40" s="1">
        <f t="shared" si="3"/>
        <v>3.24</v>
      </c>
      <c r="I40" s="1"/>
      <c r="J40" s="1"/>
      <c r="K40">
        <v>0.4</v>
      </c>
      <c r="L40" s="1">
        <f>PRODUCT(Tabela_Fundamenty[[#This Row],[A '[m2']]],Tabela_Fundamenty[[#This Row],[h '[m']]])</f>
        <v>1.2960000000000003</v>
      </c>
      <c r="M40" s="1">
        <f>PRODUCT(Tabela_Fundamenty[[#This Row],[Szt.]],Tabela_Fundamenty[[#This Row],[Vj '[m3']]])</f>
        <v>3.8880000000000008</v>
      </c>
    </row>
    <row r="41" spans="2:13" x14ac:dyDescent="0.3">
      <c r="B41" t="s">
        <v>172</v>
      </c>
      <c r="C41" t="s">
        <v>169</v>
      </c>
      <c r="D41">
        <v>1</v>
      </c>
      <c r="E41" t="s">
        <v>15</v>
      </c>
      <c r="F41">
        <v>3</v>
      </c>
      <c r="G41">
        <v>3.5</v>
      </c>
      <c r="H41" s="1">
        <f t="shared" si="3"/>
        <v>10.5</v>
      </c>
      <c r="I41" s="1"/>
      <c r="J41" s="1"/>
      <c r="K41">
        <v>0.6</v>
      </c>
      <c r="L41" s="1">
        <f>PRODUCT(Tabela_Fundamenty[[#This Row],[A '[m2']]],Tabela_Fundamenty[[#This Row],[h '[m']]])</f>
        <v>6.3</v>
      </c>
      <c r="M41" s="1">
        <f>PRODUCT(Tabela_Fundamenty[[#This Row],[Szt.]],Tabela_Fundamenty[[#This Row],[Vj '[m3']]])</f>
        <v>6.3</v>
      </c>
    </row>
    <row r="42" spans="2:13" x14ac:dyDescent="0.3">
      <c r="B42" t="s">
        <v>172</v>
      </c>
      <c r="C42" t="s">
        <v>169</v>
      </c>
      <c r="D42">
        <v>3</v>
      </c>
      <c r="E42" t="s">
        <v>14</v>
      </c>
      <c r="F42">
        <v>4.9000000000000004</v>
      </c>
      <c r="G42">
        <v>2.5</v>
      </c>
      <c r="H42" s="1">
        <f t="shared" si="3"/>
        <v>12.25</v>
      </c>
      <c r="I42" s="1"/>
      <c r="J42" s="1"/>
      <c r="K42">
        <v>0.5</v>
      </c>
      <c r="L42" s="1">
        <f>PRODUCT(Tabela_Fundamenty[[#This Row],[A '[m2']]],Tabela_Fundamenty[[#This Row],[h '[m']]])</f>
        <v>6.125</v>
      </c>
      <c r="M42" s="1">
        <f>PRODUCT(Tabela_Fundamenty[[#This Row],[Szt.]],Tabela_Fundamenty[[#This Row],[Vj '[m3']]])</f>
        <v>18.375</v>
      </c>
    </row>
    <row r="43" spans="2:13" x14ac:dyDescent="0.3">
      <c r="B43" t="s">
        <v>172</v>
      </c>
      <c r="C43" t="s">
        <v>169</v>
      </c>
      <c r="D43">
        <v>1</v>
      </c>
      <c r="E43" t="s">
        <v>13</v>
      </c>
      <c r="F43">
        <v>5.9</v>
      </c>
      <c r="G43">
        <v>2.5</v>
      </c>
      <c r="H43" s="1">
        <f t="shared" si="3"/>
        <v>14.75</v>
      </c>
      <c r="I43" s="1"/>
      <c r="J43" s="1"/>
      <c r="K43">
        <v>0.5</v>
      </c>
      <c r="L43" s="1">
        <f>PRODUCT(Tabela_Fundamenty[[#This Row],[A '[m2']]],Tabela_Fundamenty[[#This Row],[h '[m']]])</f>
        <v>7.375</v>
      </c>
      <c r="M43" s="1">
        <f>PRODUCT(Tabela_Fundamenty[[#This Row],[Szt.]],Tabela_Fundamenty[[#This Row],[Vj '[m3']]])</f>
        <v>7.375</v>
      </c>
    </row>
    <row r="44" spans="2:13" x14ac:dyDescent="0.3">
      <c r="B44" t="s">
        <v>172</v>
      </c>
      <c r="C44" t="s">
        <v>169</v>
      </c>
      <c r="D44">
        <v>7</v>
      </c>
      <c r="E44" t="s">
        <v>16</v>
      </c>
      <c r="F44">
        <v>2.5</v>
      </c>
      <c r="G44">
        <v>2</v>
      </c>
      <c r="H44" s="1">
        <f t="shared" si="3"/>
        <v>5</v>
      </c>
      <c r="I44" s="1"/>
      <c r="J44" s="1"/>
      <c r="K44">
        <v>0.5</v>
      </c>
      <c r="L44" s="1">
        <f>PRODUCT(Tabela_Fundamenty[[#This Row],[A '[m2']]],Tabela_Fundamenty[[#This Row],[h '[m']]])</f>
        <v>2.5</v>
      </c>
      <c r="M44" s="1">
        <f>PRODUCT(Tabela_Fundamenty[[#This Row],[Szt.]],Tabela_Fundamenty[[#This Row],[Vj '[m3']]])</f>
        <v>17.5</v>
      </c>
    </row>
    <row r="45" spans="2:13" x14ac:dyDescent="0.3">
      <c r="B45" t="s">
        <v>172</v>
      </c>
      <c r="C45" t="s">
        <v>169</v>
      </c>
      <c r="D45">
        <v>1</v>
      </c>
      <c r="E45" t="s">
        <v>17</v>
      </c>
      <c r="F45">
        <v>2.5</v>
      </c>
      <c r="G45">
        <v>2</v>
      </c>
      <c r="H45" s="1">
        <f t="shared" ref="H45:H49" si="4">PRODUCT(F45:G45)</f>
        <v>5</v>
      </c>
      <c r="I45" s="1"/>
      <c r="J45" s="1"/>
      <c r="K45">
        <v>0.5</v>
      </c>
      <c r="L45" s="1">
        <f>PRODUCT(Tabela_Fundamenty[[#This Row],[A '[m2']]],Tabela_Fundamenty[[#This Row],[h '[m']]])</f>
        <v>2.5</v>
      </c>
      <c r="M45" s="1">
        <f>PRODUCT(Tabela_Fundamenty[[#This Row],[Szt.]],Tabela_Fundamenty[[#This Row],[Vj '[m3']]])</f>
        <v>2.5</v>
      </c>
    </row>
    <row r="46" spans="2:13" hidden="1" x14ac:dyDescent="0.3">
      <c r="B46" t="s">
        <v>177</v>
      </c>
      <c r="C46" t="s">
        <v>169</v>
      </c>
      <c r="D46">
        <v>1</v>
      </c>
      <c r="E46" t="s">
        <v>86</v>
      </c>
      <c r="F46">
        <v>1.1000000000000001</v>
      </c>
      <c r="G46">
        <v>0.8</v>
      </c>
      <c r="H46" s="1">
        <f t="shared" si="4"/>
        <v>0.88000000000000012</v>
      </c>
      <c r="I46" s="1"/>
      <c r="J46" s="1"/>
      <c r="K46">
        <v>0.25</v>
      </c>
      <c r="L46" s="1">
        <f>PRODUCT(Tabela_Fundamenty[[#This Row],[A '[m2']]],Tabela_Fundamenty[[#This Row],[h '[m']]])</f>
        <v>0.22000000000000003</v>
      </c>
      <c r="M46" s="1">
        <f>PRODUCT(Tabela_Fundamenty[[#This Row],[Szt.]],Tabela_Fundamenty[[#This Row],[Vj '[m3']]])</f>
        <v>0.22000000000000003</v>
      </c>
    </row>
    <row r="47" spans="2:13" hidden="1" x14ac:dyDescent="0.3">
      <c r="B47" t="s">
        <v>177</v>
      </c>
      <c r="C47" t="s">
        <v>169</v>
      </c>
      <c r="E47" t="s">
        <v>86</v>
      </c>
      <c r="F47">
        <f>1.1*2+0.5*2</f>
        <v>3.2</v>
      </c>
      <c r="G47">
        <v>0.15</v>
      </c>
      <c r="H47" s="1">
        <f t="shared" si="4"/>
        <v>0.48</v>
      </c>
      <c r="I47" s="1"/>
      <c r="J47" s="1"/>
      <c r="K47">
        <v>0.56000000000000005</v>
      </c>
      <c r="L47" s="1">
        <f>PRODUCT(Tabela_Fundamenty[[#This Row],[A '[m2']]],Tabela_Fundamenty[[#This Row],[h '[m']]])</f>
        <v>0.26880000000000004</v>
      </c>
      <c r="M47" s="1">
        <f>PRODUCT(Tabela_Fundamenty[[#This Row],[Szt.]],Tabela_Fundamenty[[#This Row],[Vj '[m3']]])</f>
        <v>0.26880000000000004</v>
      </c>
    </row>
    <row r="48" spans="2:13" hidden="1" x14ac:dyDescent="0.3">
      <c r="B48" t="s">
        <v>177</v>
      </c>
      <c r="C48" t="s">
        <v>169</v>
      </c>
      <c r="D48">
        <v>1</v>
      </c>
      <c r="E48" t="s">
        <v>87</v>
      </c>
      <c r="F48">
        <v>1.1000000000000001</v>
      </c>
      <c r="G48">
        <v>1.1000000000000001</v>
      </c>
      <c r="H48" s="1">
        <f t="shared" si="4"/>
        <v>1.2100000000000002</v>
      </c>
      <c r="I48" s="1"/>
      <c r="J48" s="1"/>
      <c r="K48">
        <v>0.25</v>
      </c>
      <c r="L48" s="1">
        <f>PRODUCT(Tabela_Fundamenty[[#This Row],[A '[m2']]],Tabela_Fundamenty[[#This Row],[h '[m']]])</f>
        <v>0.30250000000000005</v>
      </c>
      <c r="M48" s="1">
        <f>PRODUCT(Tabela_Fundamenty[[#This Row],[Szt.]],Tabela_Fundamenty[[#This Row],[Vj '[m3']]])</f>
        <v>0.30250000000000005</v>
      </c>
    </row>
    <row r="49" spans="2:13" hidden="1" x14ac:dyDescent="0.3">
      <c r="B49" t="s">
        <v>177</v>
      </c>
      <c r="C49" t="s">
        <v>169</v>
      </c>
      <c r="E49" t="s">
        <v>87</v>
      </c>
      <c r="F49">
        <f>1.1*2+0.8*2</f>
        <v>3.8000000000000003</v>
      </c>
      <c r="G49">
        <v>0.15</v>
      </c>
      <c r="H49" s="1">
        <f t="shared" si="4"/>
        <v>0.57000000000000006</v>
      </c>
      <c r="I49" s="1"/>
      <c r="J49" s="1"/>
      <c r="K49">
        <v>0.56000000000000005</v>
      </c>
      <c r="L49" s="1">
        <f>PRODUCT(Tabela_Fundamenty[[#This Row],[A '[m2']]],Tabela_Fundamenty[[#This Row],[h '[m']]])</f>
        <v>0.31920000000000004</v>
      </c>
      <c r="M49" s="1">
        <f>PRODUCT(Tabela_Fundamenty[[#This Row],[Szt.]],Tabela_Fundamenty[[#This Row],[Vj '[m3']]])</f>
        <v>0.31920000000000004</v>
      </c>
    </row>
    <row r="55" spans="2:13" x14ac:dyDescent="0.3">
      <c r="B55" s="2" t="s">
        <v>67</v>
      </c>
      <c r="C55" t="s">
        <v>255</v>
      </c>
      <c r="D55" t="s">
        <v>69</v>
      </c>
    </row>
    <row r="56" spans="2:13" x14ac:dyDescent="0.3">
      <c r="B56" s="3" t="s">
        <v>170</v>
      </c>
      <c r="D56" s="11">
        <v>73.326619999999977</v>
      </c>
    </row>
    <row r="57" spans="2:13" x14ac:dyDescent="0.3">
      <c r="B57" s="4" t="s">
        <v>22</v>
      </c>
      <c r="D57" s="11">
        <v>18.275599999999997</v>
      </c>
    </row>
    <row r="58" spans="2:13" x14ac:dyDescent="0.3">
      <c r="B58" s="4" t="s">
        <v>31</v>
      </c>
      <c r="D58" s="11">
        <v>12.055239999999998</v>
      </c>
    </row>
    <row r="59" spans="2:13" x14ac:dyDescent="0.3">
      <c r="B59" s="4" t="s">
        <v>19</v>
      </c>
      <c r="D59" s="11">
        <v>4.9859999999999989</v>
      </c>
    </row>
    <row r="60" spans="2:13" x14ac:dyDescent="0.3">
      <c r="B60" s="4" t="s">
        <v>23</v>
      </c>
      <c r="D60" s="11">
        <v>0.9239999999999996</v>
      </c>
    </row>
    <row r="61" spans="2:13" x14ac:dyDescent="0.3">
      <c r="B61" s="4" t="s">
        <v>20</v>
      </c>
      <c r="D61" s="11">
        <v>9.8830799999999979</v>
      </c>
    </row>
    <row r="62" spans="2:13" x14ac:dyDescent="0.3">
      <c r="B62" s="4" t="s">
        <v>21</v>
      </c>
      <c r="D62" s="11">
        <v>21.41719999999999</v>
      </c>
    </row>
    <row r="63" spans="2:13" x14ac:dyDescent="0.3">
      <c r="B63" s="4" t="s">
        <v>33</v>
      </c>
      <c r="D63" s="11">
        <v>5.7854999999999999</v>
      </c>
    </row>
    <row r="64" spans="2:13" x14ac:dyDescent="0.3">
      <c r="B64" s="3" t="s">
        <v>171</v>
      </c>
      <c r="C64">
        <v>6</v>
      </c>
      <c r="D64" s="11">
        <v>126.52471250000001</v>
      </c>
    </row>
    <row r="65" spans="2:4" x14ac:dyDescent="0.3">
      <c r="B65" s="4" t="s">
        <v>9</v>
      </c>
      <c r="C65">
        <v>1</v>
      </c>
      <c r="D65" s="11">
        <v>25.363880000000002</v>
      </c>
    </row>
    <row r="66" spans="2:4" x14ac:dyDescent="0.3">
      <c r="B66" s="4" t="s">
        <v>10</v>
      </c>
      <c r="C66">
        <v>1</v>
      </c>
      <c r="D66" s="11">
        <v>25.3619725</v>
      </c>
    </row>
    <row r="67" spans="2:4" x14ac:dyDescent="0.3">
      <c r="B67" s="4" t="s">
        <v>88</v>
      </c>
      <c r="C67">
        <v>1</v>
      </c>
      <c r="D67" s="11">
        <v>32.03734</v>
      </c>
    </row>
    <row r="68" spans="2:4" x14ac:dyDescent="0.3">
      <c r="B68" s="4" t="s">
        <v>3</v>
      </c>
      <c r="C68">
        <v>1</v>
      </c>
      <c r="D68" s="11">
        <v>20.7</v>
      </c>
    </row>
    <row r="69" spans="2:4" x14ac:dyDescent="0.3">
      <c r="B69" s="4" t="s">
        <v>8</v>
      </c>
      <c r="C69">
        <v>1</v>
      </c>
      <c r="D69" s="11">
        <v>15.12</v>
      </c>
    </row>
    <row r="70" spans="2:4" x14ac:dyDescent="0.3">
      <c r="B70" s="4" t="s">
        <v>32</v>
      </c>
      <c r="C70">
        <v>1</v>
      </c>
      <c r="D70" s="11">
        <v>7.9415200000000006</v>
      </c>
    </row>
    <row r="71" spans="2:4" x14ac:dyDescent="0.3">
      <c r="B71" s="3" t="s">
        <v>173</v>
      </c>
      <c r="C71">
        <v>4</v>
      </c>
      <c r="D71" s="11">
        <v>6.0955599999999999</v>
      </c>
    </row>
    <row r="72" spans="2:4" x14ac:dyDescent="0.3">
      <c r="B72" s="4" t="s">
        <v>81</v>
      </c>
      <c r="C72">
        <v>1</v>
      </c>
      <c r="D72" s="11">
        <v>1.4039199999999998</v>
      </c>
    </row>
    <row r="73" spans="2:4" x14ac:dyDescent="0.3">
      <c r="B73" s="4" t="s">
        <v>30</v>
      </c>
      <c r="C73">
        <v>2</v>
      </c>
      <c r="D73" s="11">
        <v>3.988</v>
      </c>
    </row>
    <row r="74" spans="2:4" x14ac:dyDescent="0.3">
      <c r="B74" s="4" t="s">
        <v>29</v>
      </c>
      <c r="C74">
        <v>1</v>
      </c>
      <c r="D74" s="11">
        <v>0.70364000000000004</v>
      </c>
    </row>
    <row r="75" spans="2:4" x14ac:dyDescent="0.3">
      <c r="B75" s="3" t="s">
        <v>172</v>
      </c>
      <c r="C75">
        <v>27</v>
      </c>
      <c r="D75" s="11">
        <v>100.499</v>
      </c>
    </row>
    <row r="76" spans="2:4" x14ac:dyDescent="0.3">
      <c r="B76" s="4" t="s">
        <v>12</v>
      </c>
      <c r="C76">
        <v>4</v>
      </c>
      <c r="D76" s="11">
        <v>12.5</v>
      </c>
    </row>
    <row r="77" spans="2:4" x14ac:dyDescent="0.3">
      <c r="B77" s="4" t="s">
        <v>7</v>
      </c>
      <c r="C77">
        <v>1</v>
      </c>
      <c r="D77" s="11">
        <v>3.125</v>
      </c>
    </row>
    <row r="78" spans="2:4" x14ac:dyDescent="0.3">
      <c r="B78" s="4" t="s">
        <v>2</v>
      </c>
      <c r="C78">
        <v>2</v>
      </c>
      <c r="D78" s="11">
        <v>10.799999999999999</v>
      </c>
    </row>
    <row r="79" spans="2:4" x14ac:dyDescent="0.3">
      <c r="B79" s="4" t="s">
        <v>5</v>
      </c>
      <c r="C79">
        <v>2</v>
      </c>
      <c r="D79" s="11">
        <v>10.799999999999999</v>
      </c>
    </row>
    <row r="80" spans="2:4" x14ac:dyDescent="0.3">
      <c r="B80" s="4" t="s">
        <v>6</v>
      </c>
      <c r="C80">
        <v>1</v>
      </c>
      <c r="D80" s="11">
        <v>5.3999999999999995</v>
      </c>
    </row>
    <row r="81" spans="2:4" x14ac:dyDescent="0.3">
      <c r="B81" s="4" t="s">
        <v>11</v>
      </c>
      <c r="C81">
        <v>1</v>
      </c>
      <c r="D81" s="11">
        <v>1.9360000000000004</v>
      </c>
    </row>
    <row r="82" spans="2:4" x14ac:dyDescent="0.3">
      <c r="B82" s="4" t="s">
        <v>1</v>
      </c>
      <c r="C82">
        <v>3</v>
      </c>
      <c r="D82" s="11">
        <v>3.8880000000000008</v>
      </c>
    </row>
    <row r="83" spans="2:4" x14ac:dyDescent="0.3">
      <c r="B83" s="4" t="s">
        <v>15</v>
      </c>
      <c r="C83">
        <v>1</v>
      </c>
      <c r="D83" s="11">
        <v>6.3</v>
      </c>
    </row>
    <row r="84" spans="2:4" x14ac:dyDescent="0.3">
      <c r="B84" s="4" t="s">
        <v>14</v>
      </c>
      <c r="C84">
        <v>3</v>
      </c>
      <c r="D84" s="11">
        <v>18.375</v>
      </c>
    </row>
    <row r="85" spans="2:4" x14ac:dyDescent="0.3">
      <c r="B85" s="4" t="s">
        <v>13</v>
      </c>
      <c r="C85">
        <v>1</v>
      </c>
      <c r="D85" s="11">
        <v>7.375</v>
      </c>
    </row>
    <row r="86" spans="2:4" x14ac:dyDescent="0.3">
      <c r="B86" s="4" t="s">
        <v>16</v>
      </c>
      <c r="C86">
        <v>7</v>
      </c>
      <c r="D86" s="11">
        <v>17.5</v>
      </c>
    </row>
    <row r="87" spans="2:4" x14ac:dyDescent="0.3">
      <c r="B87" s="4" t="s">
        <v>17</v>
      </c>
      <c r="C87">
        <v>1</v>
      </c>
      <c r="D87" s="11">
        <v>2.5</v>
      </c>
    </row>
    <row r="88" spans="2:4" x14ac:dyDescent="0.3">
      <c r="B88" s="3" t="s">
        <v>177</v>
      </c>
      <c r="C88">
        <v>2</v>
      </c>
      <c r="D88" s="11">
        <v>1.1105000000000003</v>
      </c>
    </row>
    <row r="89" spans="2:4" x14ac:dyDescent="0.3">
      <c r="B89" s="4" t="s">
        <v>86</v>
      </c>
      <c r="C89">
        <v>1</v>
      </c>
      <c r="D89" s="11">
        <v>0.48880000000000007</v>
      </c>
    </row>
    <row r="90" spans="2:4" x14ac:dyDescent="0.3">
      <c r="B90" s="4" t="s">
        <v>87</v>
      </c>
      <c r="C90">
        <v>1</v>
      </c>
      <c r="D90" s="11">
        <v>0.62170000000000014</v>
      </c>
    </row>
    <row r="91" spans="2:4" x14ac:dyDescent="0.3">
      <c r="B91" s="3" t="s">
        <v>68</v>
      </c>
      <c r="C91">
        <v>39</v>
      </c>
      <c r="D91" s="11">
        <v>307.55639250000002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81E0-4234-422D-B0A0-CE48B3103DF1}">
  <dimension ref="B3:O105"/>
  <sheetViews>
    <sheetView tabSelected="1" topLeftCell="A61" zoomScaleNormal="100" workbookViewId="0">
      <selection activeCell="J28" sqref="J28"/>
    </sheetView>
  </sheetViews>
  <sheetFormatPr defaultRowHeight="14.4" x14ac:dyDescent="0.3"/>
  <cols>
    <col min="2" max="2" width="17.6640625" bestFit="1" customWidth="1"/>
    <col min="3" max="3" width="15" bestFit="1" customWidth="1"/>
    <col min="4" max="4" width="13.5546875" bestFit="1" customWidth="1"/>
    <col min="5" max="6" width="12.88671875" customWidth="1"/>
    <col min="7" max="7" width="7" customWidth="1"/>
    <col min="8" max="8" width="7.5546875" customWidth="1"/>
    <col min="10" max="10" width="10" customWidth="1"/>
    <col min="11" max="11" width="16.33203125" customWidth="1"/>
    <col min="12" max="13" width="12.33203125" customWidth="1"/>
    <col min="14" max="14" width="17.6640625" customWidth="1"/>
  </cols>
  <sheetData>
    <row r="3" spans="2:15" x14ac:dyDescent="0.3">
      <c r="B3" s="6" t="s">
        <v>80</v>
      </c>
      <c r="C3" s="7"/>
      <c r="D3" s="7"/>
      <c r="E3" s="7"/>
    </row>
    <row r="4" spans="2:15" x14ac:dyDescent="0.3">
      <c r="B4" t="s">
        <v>369</v>
      </c>
    </row>
    <row r="5" spans="2:15" x14ac:dyDescent="0.3">
      <c r="B5" t="s">
        <v>315</v>
      </c>
    </row>
    <row r="6" spans="2:15" x14ac:dyDescent="0.3">
      <c r="B6" t="s">
        <v>370</v>
      </c>
    </row>
    <row r="8" spans="2:15" x14ac:dyDescent="0.3">
      <c r="B8" t="s">
        <v>279</v>
      </c>
    </row>
    <row r="9" spans="2:15" x14ac:dyDescent="0.3">
      <c r="B9" t="s">
        <v>43</v>
      </c>
      <c r="C9" t="s">
        <v>310</v>
      </c>
    </row>
    <row r="10" spans="2:15" x14ac:dyDescent="0.3">
      <c r="B10" t="s">
        <v>47</v>
      </c>
      <c r="C10" t="s">
        <v>311</v>
      </c>
    </row>
    <row r="13" spans="2:15" ht="15.75" customHeight="1" x14ac:dyDescent="0.3">
      <c r="B13" t="s">
        <v>18</v>
      </c>
      <c r="C13" t="s">
        <v>222</v>
      </c>
      <c r="D13" t="s">
        <v>221</v>
      </c>
      <c r="E13" t="s">
        <v>4</v>
      </c>
      <c r="F13" t="s">
        <v>26</v>
      </c>
      <c r="G13" t="s">
        <v>25</v>
      </c>
      <c r="H13" t="s">
        <v>24</v>
      </c>
      <c r="I13" t="s">
        <v>83</v>
      </c>
      <c r="J13" t="s">
        <v>38</v>
      </c>
      <c r="K13" t="s">
        <v>27</v>
      </c>
      <c r="L13" t="s">
        <v>309</v>
      </c>
      <c r="M13" t="s">
        <v>28</v>
      </c>
      <c r="N13" t="s">
        <v>82</v>
      </c>
      <c r="O13" t="s">
        <v>72</v>
      </c>
    </row>
    <row r="14" spans="2:15" x14ac:dyDescent="0.3">
      <c r="B14" t="s">
        <v>174</v>
      </c>
      <c r="C14" t="s">
        <v>169</v>
      </c>
      <c r="E14" t="s">
        <v>36</v>
      </c>
      <c r="F14">
        <v>92.34</v>
      </c>
      <c r="G14">
        <v>0.18</v>
      </c>
      <c r="H14" s="1">
        <f t="shared" ref="H14:H26" si="0">PRODUCT(F14:G14)</f>
        <v>16.621200000000002</v>
      </c>
      <c r="I14" s="1">
        <v>-1</v>
      </c>
      <c r="J14" s="1">
        <v>3.37</v>
      </c>
      <c r="K14" s="1">
        <f>Tabela_Piony_0[[#This Row],[hg]]-Tabela_Piony_0[[#This Row],[hd]]</f>
        <v>4.37</v>
      </c>
      <c r="L14" s="1">
        <f>Tabela_Piony_0[[#This Row],[h '[m']]]*Tabela_Piony_0[[#This Row],[A '[m2']]]</f>
        <v>72.634644000000009</v>
      </c>
      <c r="M14" s="1">
        <f>PRODUCT(Tabela_Piony_0[[#This Row],[Szt.]],Tabela_Piony_0[[#This Row],[Vj '[m3']]])</f>
        <v>72.634644000000009</v>
      </c>
      <c r="N14" s="1"/>
      <c r="O14" s="1">
        <v>100</v>
      </c>
    </row>
    <row r="15" spans="2:15" x14ac:dyDescent="0.3">
      <c r="B15" t="s">
        <v>174</v>
      </c>
      <c r="C15" t="s">
        <v>169</v>
      </c>
      <c r="E15" t="s">
        <v>35</v>
      </c>
      <c r="F15">
        <v>20.46</v>
      </c>
      <c r="G15">
        <v>0.18</v>
      </c>
      <c r="H15" s="1">
        <f t="shared" si="0"/>
        <v>3.6827999999999999</v>
      </c>
      <c r="I15" s="1">
        <v>-1</v>
      </c>
      <c r="J15" s="1">
        <v>2.98</v>
      </c>
      <c r="K15" s="1">
        <f>Tabela_Piony_0[[#This Row],[hg]]-Tabela_Piony_0[[#This Row],[hd]]</f>
        <v>3.98</v>
      </c>
      <c r="L15" s="1">
        <f>Tabela_Piony_0[[#This Row],[h '[m']]]*Tabela_Piony_0[[#This Row],[A '[m2']]]</f>
        <v>14.657544</v>
      </c>
      <c r="M15" s="1">
        <f>PRODUCT(Tabela_Piony_0[[#This Row],[Szt.]],Tabela_Piony_0[[#This Row],[Vj '[m3']]])</f>
        <v>14.657544</v>
      </c>
      <c r="N15" s="1"/>
      <c r="O15" s="1">
        <v>23</v>
      </c>
    </row>
    <row r="16" spans="2:15" x14ac:dyDescent="0.3">
      <c r="B16" t="s">
        <v>174</v>
      </c>
      <c r="C16" t="s">
        <v>169</v>
      </c>
      <c r="E16" t="s">
        <v>63</v>
      </c>
      <c r="F16">
        <v>7.82</v>
      </c>
      <c r="G16">
        <v>0.18</v>
      </c>
      <c r="H16" s="1">
        <f t="shared" si="0"/>
        <v>1.4076</v>
      </c>
      <c r="I16" s="1">
        <v>-1.6</v>
      </c>
      <c r="J16" s="1">
        <v>2.98</v>
      </c>
      <c r="K16" s="1">
        <f>Tabela_Piony_0[[#This Row],[hg]]-Tabela_Piony_0[[#This Row],[hd]]</f>
        <v>4.58</v>
      </c>
      <c r="L16" s="1">
        <f>Tabela_Piony_0[[#This Row],[h '[m']]]*Tabela_Piony_0[[#This Row],[A '[m2']]]</f>
        <v>6.4468079999999999</v>
      </c>
      <c r="M16" s="1">
        <f>PRODUCT(Tabela_Piony_0[[#This Row],[Szt.]],Tabela_Piony_0[[#This Row],[Vj '[m3']]])</f>
        <v>6.4468079999999999</v>
      </c>
      <c r="N16" s="1"/>
      <c r="O16" s="1">
        <v>9</v>
      </c>
    </row>
    <row r="17" spans="2:15" x14ac:dyDescent="0.3">
      <c r="B17" t="s">
        <v>174</v>
      </c>
      <c r="C17" t="s">
        <v>169</v>
      </c>
      <c r="E17" t="s">
        <v>64</v>
      </c>
      <c r="F17">
        <v>30.14</v>
      </c>
      <c r="G17">
        <v>0.18</v>
      </c>
      <c r="H17" s="1">
        <f t="shared" si="0"/>
        <v>5.4252000000000002</v>
      </c>
      <c r="I17" s="1">
        <v>-1.6</v>
      </c>
      <c r="J17" s="1">
        <v>3.37</v>
      </c>
      <c r="K17" s="1">
        <f>Tabela_Piony_0[[#This Row],[hg]]-Tabela_Piony_0[[#This Row],[hd]]</f>
        <v>4.9700000000000006</v>
      </c>
      <c r="L17" s="1">
        <f>Tabela_Piony_0[[#This Row],[h '[m']]]*Tabela_Piony_0[[#This Row],[A '[m2']]]</f>
        <v>26.963244000000003</v>
      </c>
      <c r="M17" s="1">
        <f>PRODUCT(Tabela_Piony_0[[#This Row],[Szt.]],Tabela_Piony_0[[#This Row],[Vj '[m3']]])</f>
        <v>26.963244000000003</v>
      </c>
      <c r="N17" s="1"/>
      <c r="O17" s="1">
        <v>33</v>
      </c>
    </row>
    <row r="18" spans="2:15" x14ac:dyDescent="0.3">
      <c r="B18" t="s">
        <v>174</v>
      </c>
      <c r="C18" t="s">
        <v>169</v>
      </c>
      <c r="E18" t="s">
        <v>65</v>
      </c>
      <c r="F18">
        <v>18.760000000000002</v>
      </c>
      <c r="G18">
        <v>0.18</v>
      </c>
      <c r="H18" s="1">
        <f t="shared" si="0"/>
        <v>3.3768000000000002</v>
      </c>
      <c r="I18" s="1">
        <v>-1.9</v>
      </c>
      <c r="J18" s="1">
        <v>3.37</v>
      </c>
      <c r="K18" s="1">
        <f>Tabela_Piony_0[[#This Row],[hg]]-Tabela_Piony_0[[#This Row],[hd]]</f>
        <v>5.27</v>
      </c>
      <c r="L18" s="1">
        <f>Tabela_Piony_0[[#This Row],[h '[m']]]*Tabela_Piony_0[[#This Row],[A '[m2']]]</f>
        <v>17.795736000000002</v>
      </c>
      <c r="M18" s="1">
        <f>PRODUCT(Tabela_Piony_0[[#This Row],[Szt.]],Tabela_Piony_0[[#This Row],[Vj '[m3']]])</f>
        <v>17.795736000000002</v>
      </c>
      <c r="N18" s="1"/>
      <c r="O18" s="1">
        <v>20</v>
      </c>
    </row>
    <row r="19" spans="2:15" x14ac:dyDescent="0.3">
      <c r="B19" t="s">
        <v>174</v>
      </c>
      <c r="C19" t="s">
        <v>169</v>
      </c>
      <c r="E19" t="s">
        <v>66</v>
      </c>
      <c r="F19">
        <v>15.14</v>
      </c>
      <c r="G19">
        <v>0.24</v>
      </c>
      <c r="H19" s="1">
        <f t="shared" si="0"/>
        <v>3.6335999999999999</v>
      </c>
      <c r="I19" s="1">
        <v>-2</v>
      </c>
      <c r="J19" s="1">
        <v>3.05</v>
      </c>
      <c r="K19" s="1">
        <f>Tabela_Piony_0[[#This Row],[hg]]-Tabela_Piony_0[[#This Row],[hd]]</f>
        <v>5.05</v>
      </c>
      <c r="L19" s="1">
        <f>Tabela_Piony_0[[#This Row],[h '[m']]]*Tabela_Piony_0[[#This Row],[A '[m2']]]</f>
        <v>18.349679999999999</v>
      </c>
      <c r="M19" s="1">
        <f>PRODUCT(Tabela_Piony_0[[#This Row],[Szt.]],Tabela_Piony_0[[#This Row],[Vj '[m3']]])</f>
        <v>18.349679999999999</v>
      </c>
      <c r="N19" s="1" t="s">
        <v>71</v>
      </c>
      <c r="O19" s="1">
        <v>15</v>
      </c>
    </row>
    <row r="20" spans="2:15" x14ac:dyDescent="0.3">
      <c r="B20" t="s">
        <v>93</v>
      </c>
      <c r="C20" t="s">
        <v>169</v>
      </c>
      <c r="E20" t="s">
        <v>37</v>
      </c>
      <c r="F20">
        <v>24.78</v>
      </c>
      <c r="G20">
        <v>0.18</v>
      </c>
      <c r="H20" s="1">
        <f t="shared" si="0"/>
        <v>4.4603999999999999</v>
      </c>
      <c r="I20" s="1">
        <v>-1</v>
      </c>
      <c r="J20" s="1">
        <v>-0.24</v>
      </c>
      <c r="K20" s="1">
        <f>Tabela_Piony_0[[#This Row],[hg]]-Tabela_Piony_0[[#This Row],[hd]]</f>
        <v>0.76</v>
      </c>
      <c r="L20" s="1">
        <f>Tabela_Piony_0[[#This Row],[h '[m']]]*Tabela_Piony_0[[#This Row],[A '[m2']]]</f>
        <v>3.389904</v>
      </c>
      <c r="M20" s="1">
        <f>PRODUCT(Tabela_Piony_0[[#This Row],[Szt.]],Tabela_Piony_0[[#This Row],[Vj '[m3']]])</f>
        <v>3.389904</v>
      </c>
      <c r="N20" s="1"/>
      <c r="O20" s="1">
        <v>25</v>
      </c>
    </row>
    <row r="21" spans="2:15" x14ac:dyDescent="0.3">
      <c r="B21" t="s">
        <v>93</v>
      </c>
      <c r="C21" t="s">
        <v>169</v>
      </c>
      <c r="E21" t="s">
        <v>34</v>
      </c>
      <c r="F21">
        <v>2.6</v>
      </c>
      <c r="G21">
        <v>0.18</v>
      </c>
      <c r="H21" s="1">
        <f t="shared" si="0"/>
        <v>0.46799999999999997</v>
      </c>
      <c r="I21" s="1">
        <v>-1</v>
      </c>
      <c r="J21" s="1">
        <v>-0.24</v>
      </c>
      <c r="K21" s="1">
        <f>Tabela_Piony_0[[#This Row],[hg]]-Tabela_Piony_0[[#This Row],[hd]]</f>
        <v>0.76</v>
      </c>
      <c r="L21" s="1">
        <f>Tabela_Piony_0[[#This Row],[h '[m']]]*Tabela_Piony_0[[#This Row],[A '[m2']]]</f>
        <v>0.35568</v>
      </c>
      <c r="M21" s="1">
        <f>PRODUCT(Tabela_Piony_0[[#This Row],[Szt.]],Tabela_Piony_0[[#This Row],[Vj '[m3']]])</f>
        <v>0.35568</v>
      </c>
      <c r="N21" s="1"/>
      <c r="O21" s="1">
        <v>3</v>
      </c>
    </row>
    <row r="22" spans="2:15" x14ac:dyDescent="0.3">
      <c r="B22" t="s">
        <v>93</v>
      </c>
      <c r="C22" t="s">
        <v>169</v>
      </c>
      <c r="E22" t="s">
        <v>75</v>
      </c>
      <c r="F22">
        <v>28.62</v>
      </c>
      <c r="G22">
        <v>0.18</v>
      </c>
      <c r="H22" s="1">
        <f t="shared" si="0"/>
        <v>5.1516000000000002</v>
      </c>
      <c r="I22" s="1">
        <v>-1</v>
      </c>
      <c r="J22" s="1">
        <v>-0.24</v>
      </c>
      <c r="K22" s="1">
        <f>Tabela_Piony_0[[#This Row],[hg]]-Tabela_Piony_0[[#This Row],[hd]]</f>
        <v>0.76</v>
      </c>
      <c r="L22" s="1">
        <f>Tabela_Piony_0[[#This Row],[h '[m']]]*Tabela_Piony_0[[#This Row],[A '[m2']]]</f>
        <v>3.915216</v>
      </c>
      <c r="M22" s="1">
        <f>PRODUCT(Tabela_Piony_0[[#This Row],[Szt.]],Tabela_Piony_0[[#This Row],[Vj '[m3']]])</f>
        <v>3.915216</v>
      </c>
      <c r="N22" s="1"/>
      <c r="O22" s="1">
        <f>16+14</f>
        <v>30</v>
      </c>
    </row>
    <row r="23" spans="2:15" x14ac:dyDescent="0.3">
      <c r="B23" t="s">
        <v>93</v>
      </c>
      <c r="C23" t="s">
        <v>169</v>
      </c>
      <c r="E23" t="s">
        <v>76</v>
      </c>
      <c r="F23">
        <v>8.08</v>
      </c>
      <c r="G23">
        <v>0.18</v>
      </c>
      <c r="H23" s="1">
        <f t="shared" si="0"/>
        <v>1.4543999999999999</v>
      </c>
      <c r="I23" s="1">
        <v>-1.9</v>
      </c>
      <c r="J23" s="1">
        <v>-0.24</v>
      </c>
      <c r="K23" s="1">
        <f>Tabela_Piony_0[[#This Row],[hg]]-Tabela_Piony_0[[#This Row],[hd]]</f>
        <v>1.66</v>
      </c>
      <c r="L23" s="1">
        <f>Tabela_Piony_0[[#This Row],[h '[m']]]*Tabela_Piony_0[[#This Row],[A '[m2']]]</f>
        <v>2.4143039999999996</v>
      </c>
      <c r="M23" s="1">
        <f>PRODUCT(Tabela_Piony_0[[#This Row],[Szt.]],Tabela_Piony_0[[#This Row],[Vj '[m3']]])</f>
        <v>2.4143039999999996</v>
      </c>
      <c r="N23" s="1"/>
      <c r="O23" s="1">
        <f>5.5+3</f>
        <v>8.5</v>
      </c>
    </row>
    <row r="24" spans="2:15" x14ac:dyDescent="0.3">
      <c r="B24" t="s">
        <v>93</v>
      </c>
      <c r="C24" t="s">
        <v>169</v>
      </c>
      <c r="E24" t="s">
        <v>77</v>
      </c>
      <c r="F24">
        <v>65.67</v>
      </c>
      <c r="G24">
        <v>0.18</v>
      </c>
      <c r="H24" s="1">
        <f t="shared" si="0"/>
        <v>11.820600000000001</v>
      </c>
      <c r="I24" s="1">
        <v>-1</v>
      </c>
      <c r="J24" s="1">
        <v>-0.02</v>
      </c>
      <c r="K24" s="1">
        <f>Tabela_Piony_0[[#This Row],[hg]]-Tabela_Piony_0[[#This Row],[hd]]</f>
        <v>0.98</v>
      </c>
      <c r="L24" s="1">
        <f>Tabela_Piony_0[[#This Row],[h '[m']]]*Tabela_Piony_0[[#This Row],[A '[m2']]]</f>
        <v>11.584188000000001</v>
      </c>
      <c r="M24" s="1">
        <f>PRODUCT(Tabela_Piony_0[[#This Row],[Szt.]],Tabela_Piony_0[[#This Row],[Vj '[m3']]])</f>
        <v>11.584188000000001</v>
      </c>
      <c r="N24" s="1"/>
      <c r="O24" s="1">
        <v>70</v>
      </c>
    </row>
    <row r="25" spans="2:15" x14ac:dyDescent="0.3">
      <c r="B25" t="s">
        <v>93</v>
      </c>
      <c r="C25" t="s">
        <v>169</v>
      </c>
      <c r="E25" t="s">
        <v>78</v>
      </c>
      <c r="F25">
        <v>2.5</v>
      </c>
      <c r="G25">
        <v>0.18</v>
      </c>
      <c r="H25" s="1">
        <f t="shared" si="0"/>
        <v>0.44999999999999996</v>
      </c>
      <c r="I25" s="1">
        <v>-1.6</v>
      </c>
      <c r="J25" s="1">
        <v>-0.02</v>
      </c>
      <c r="K25" s="1">
        <f>Tabela_Piony_0[[#This Row],[hg]]-Tabela_Piony_0[[#This Row],[hd]]</f>
        <v>1.58</v>
      </c>
      <c r="L25" s="1">
        <f>Tabela_Piony_0[[#This Row],[h '[m']]]*Tabela_Piony_0[[#This Row],[A '[m2']]]</f>
        <v>0.71099999999999997</v>
      </c>
      <c r="M25" s="1">
        <f>PRODUCT(Tabela_Piony_0[[#This Row],[Szt.]],Tabela_Piony_0[[#This Row],[Vj '[m3']]])</f>
        <v>0.71099999999999997</v>
      </c>
      <c r="N25" s="1"/>
      <c r="O25" s="1">
        <v>3</v>
      </c>
    </row>
    <row r="26" spans="2:15" x14ac:dyDescent="0.3">
      <c r="B26" t="s">
        <v>93</v>
      </c>
      <c r="C26" t="s">
        <v>169</v>
      </c>
      <c r="E26" t="s">
        <v>73</v>
      </c>
      <c r="F26">
        <v>23.48</v>
      </c>
      <c r="G26">
        <v>0.18</v>
      </c>
      <c r="H26" s="1">
        <f t="shared" si="0"/>
        <v>4.2263999999999999</v>
      </c>
      <c r="I26" s="1">
        <v>-1.1000000000000001</v>
      </c>
      <c r="J26" s="1">
        <v>-0.02</v>
      </c>
      <c r="K26" s="1">
        <f>Tabela_Piony_0[[#This Row],[hg]]-Tabela_Piony_0[[#This Row],[hd]]</f>
        <v>1.08</v>
      </c>
      <c r="L26" s="1">
        <f>Tabela_Piony_0[[#This Row],[h '[m']]]*Tabela_Piony_0[[#This Row],[A '[m2']]]</f>
        <v>4.5645120000000006</v>
      </c>
      <c r="M26" s="1">
        <f>PRODUCT(Tabela_Piony_0[[#This Row],[Szt.]],Tabela_Piony_0[[#This Row],[Vj '[m3']]])</f>
        <v>4.5645120000000006</v>
      </c>
      <c r="N26" s="1" t="s">
        <v>79</v>
      </c>
      <c r="O26" s="1">
        <v>30</v>
      </c>
    </row>
    <row r="27" spans="2:15" x14ac:dyDescent="0.3">
      <c r="B27" t="s">
        <v>175</v>
      </c>
      <c r="C27" t="s">
        <v>169</v>
      </c>
      <c r="D27">
        <v>15</v>
      </c>
      <c r="E27" t="s">
        <v>312</v>
      </c>
      <c r="F27">
        <v>0.6</v>
      </c>
      <c r="G27">
        <v>0.35</v>
      </c>
      <c r="H27" s="1">
        <f t="shared" ref="H27:H33" si="1">PRODUCT(F27:G27)</f>
        <v>0.21</v>
      </c>
      <c r="I27" s="1">
        <v>-1</v>
      </c>
      <c r="J27" s="1">
        <v>2.33</v>
      </c>
      <c r="K27" s="1">
        <f>Tabela_Piony_0[[#This Row],[hg]]-Tabela_Piony_0[[#This Row],[hd]]</f>
        <v>3.33</v>
      </c>
      <c r="L27" s="1">
        <f>Tabela_Piony_0[[#This Row],[h '[m']]]*Tabela_Piony_0[[#This Row],[A '[m2']]]</f>
        <v>0.69930000000000003</v>
      </c>
      <c r="M27" s="1">
        <f>PRODUCT(Tabela_Piony_0[[#This Row],[Szt.]],Tabela_Piony_0[[#This Row],[Vj '[m3']]])</f>
        <v>10.4895</v>
      </c>
      <c r="N27" s="1"/>
      <c r="O27" s="1"/>
    </row>
    <row r="28" spans="2:15" x14ac:dyDescent="0.3">
      <c r="B28" t="s">
        <v>175</v>
      </c>
      <c r="C28" t="s">
        <v>169</v>
      </c>
      <c r="D28">
        <v>5</v>
      </c>
      <c r="E28" t="s">
        <v>313</v>
      </c>
      <c r="F28">
        <v>0.6</v>
      </c>
      <c r="G28">
        <v>0.35</v>
      </c>
      <c r="H28" s="1">
        <f t="shared" si="1"/>
        <v>0.21</v>
      </c>
      <c r="I28" s="1">
        <v>-1</v>
      </c>
      <c r="J28" s="1">
        <v>2.33</v>
      </c>
      <c r="K28" s="1">
        <f>Tabela_Piony_0[[#This Row],[hg]]-Tabela_Piony_0[[#This Row],[hd]]</f>
        <v>3.33</v>
      </c>
      <c r="L28" s="1">
        <f>Tabela_Piony_0[[#This Row],[h '[m']]]*Tabela_Piony_0[[#This Row],[A '[m2']]]</f>
        <v>0.69930000000000003</v>
      </c>
      <c r="M28" s="1">
        <f>PRODUCT(Tabela_Piony_0[[#This Row],[Szt.]],Tabela_Piony_0[[#This Row],[Vj '[m3']]])</f>
        <v>3.4965000000000002</v>
      </c>
      <c r="N28" s="1"/>
      <c r="O28" s="1"/>
    </row>
    <row r="29" spans="2:15" x14ac:dyDescent="0.3">
      <c r="B29" t="s">
        <v>175</v>
      </c>
      <c r="C29" t="s">
        <v>169</v>
      </c>
      <c r="D29">
        <v>3</v>
      </c>
      <c r="E29" t="s">
        <v>314</v>
      </c>
      <c r="F29">
        <v>0.6</v>
      </c>
      <c r="G29">
        <v>0.35</v>
      </c>
      <c r="H29" s="1">
        <f t="shared" si="1"/>
        <v>0.21</v>
      </c>
      <c r="I29" s="1">
        <v>-1</v>
      </c>
      <c r="J29" s="1">
        <v>2.57</v>
      </c>
      <c r="K29" s="1">
        <f>Tabela_Piony_0[[#This Row],[hg]]-Tabela_Piony_0[[#This Row],[hd]]</f>
        <v>3.57</v>
      </c>
      <c r="L29" s="1">
        <f>Tabela_Piony_0[[#This Row],[h '[m']]]*Tabela_Piony_0[[#This Row],[A '[m2']]]</f>
        <v>0.74969999999999992</v>
      </c>
      <c r="M29" s="1">
        <f>PRODUCT(Tabela_Piony_0[[#This Row],[Szt.]],Tabela_Piony_0[[#This Row],[Vj '[m3']]])</f>
        <v>2.2490999999999999</v>
      </c>
      <c r="N29" s="1"/>
      <c r="O29" s="1"/>
    </row>
    <row r="30" spans="2:15" x14ac:dyDescent="0.3">
      <c r="B30" t="s">
        <v>175</v>
      </c>
      <c r="C30" t="s">
        <v>169</v>
      </c>
      <c r="D30">
        <v>8</v>
      </c>
      <c r="E30" t="s">
        <v>43</v>
      </c>
      <c r="F30">
        <v>0.35</v>
      </c>
      <c r="G30">
        <v>0.35</v>
      </c>
      <c r="H30" s="1">
        <f t="shared" si="1"/>
        <v>0.12249999999999998</v>
      </c>
      <c r="I30" s="1">
        <v>-1</v>
      </c>
      <c r="J30" s="1">
        <v>3.12</v>
      </c>
      <c r="K30" s="1">
        <f>Tabela_Piony_0[[#This Row],[hg]]-Tabela_Piony_0[[#This Row],[hd]]</f>
        <v>4.12</v>
      </c>
      <c r="L30" s="1">
        <f>Tabela_Piony_0[[#This Row],[h '[m']]]*Tabela_Piony_0[[#This Row],[A '[m2']]]</f>
        <v>0.50469999999999993</v>
      </c>
      <c r="M30" s="1">
        <f>PRODUCT(Tabela_Piony_0[[#This Row],[Szt.]],Tabela_Piony_0[[#This Row],[Vj '[m3']]])</f>
        <v>4.0375999999999994</v>
      </c>
      <c r="N30" s="1" t="s">
        <v>94</v>
      </c>
      <c r="O30" s="1"/>
    </row>
    <row r="31" spans="2:15" x14ac:dyDescent="0.3">
      <c r="B31" t="s">
        <v>175</v>
      </c>
      <c r="C31" t="s">
        <v>169</v>
      </c>
      <c r="D31">
        <v>15</v>
      </c>
      <c r="E31" t="s">
        <v>44</v>
      </c>
      <c r="F31">
        <v>0.6</v>
      </c>
      <c r="G31">
        <v>0.35</v>
      </c>
      <c r="H31" s="1">
        <f t="shared" si="1"/>
        <v>0.21</v>
      </c>
      <c r="I31" s="1">
        <v>-1</v>
      </c>
      <c r="J31" s="1">
        <v>2.57</v>
      </c>
      <c r="K31" s="1">
        <f>Tabela_Piony_0[[#This Row],[hg]]-Tabela_Piony_0[[#This Row],[hd]]</f>
        <v>3.57</v>
      </c>
      <c r="L31" s="1">
        <f>Tabela_Piony_0[[#This Row],[h '[m']]]*Tabela_Piony_0[[#This Row],[A '[m2']]]</f>
        <v>0.74969999999999992</v>
      </c>
      <c r="M31" s="1">
        <f>PRODUCT(Tabela_Piony_0[[#This Row],[Szt.]],Tabela_Piony_0[[#This Row],[Vj '[m3']]])</f>
        <v>11.245499999999998</v>
      </c>
      <c r="N31" s="1"/>
      <c r="O31" s="1"/>
    </row>
    <row r="32" spans="2:15" x14ac:dyDescent="0.3">
      <c r="B32" t="s">
        <v>175</v>
      </c>
      <c r="C32" t="s">
        <v>169</v>
      </c>
      <c r="D32">
        <v>1</v>
      </c>
      <c r="E32" t="s">
        <v>45</v>
      </c>
      <c r="F32">
        <v>0.6</v>
      </c>
      <c r="G32">
        <v>0.35</v>
      </c>
      <c r="H32" s="1">
        <f t="shared" si="1"/>
        <v>0.21</v>
      </c>
      <c r="I32" s="1">
        <v>-1</v>
      </c>
      <c r="J32" s="1">
        <v>2.87</v>
      </c>
      <c r="K32" s="1">
        <f>Tabela_Piony_0[[#This Row],[hg]]-Tabela_Piony_0[[#This Row],[hd]]</f>
        <v>3.87</v>
      </c>
      <c r="L32" s="1">
        <f>Tabela_Piony_0[[#This Row],[h '[m']]]*Tabela_Piony_0[[#This Row],[A '[m2']]]</f>
        <v>0.81269999999999998</v>
      </c>
      <c r="M32" s="1">
        <f>PRODUCT(Tabela_Piony_0[[#This Row],[Szt.]],Tabela_Piony_0[[#This Row],[Vj '[m3']]])</f>
        <v>0.81269999999999998</v>
      </c>
      <c r="N32" s="1"/>
      <c r="O32" s="1"/>
    </row>
    <row r="33" spans="2:15" x14ac:dyDescent="0.3">
      <c r="B33" t="s">
        <v>175</v>
      </c>
      <c r="C33" t="s">
        <v>169</v>
      </c>
      <c r="D33">
        <v>3</v>
      </c>
      <c r="E33" t="s">
        <v>46</v>
      </c>
      <c r="F33">
        <v>0.6</v>
      </c>
      <c r="G33">
        <v>0.35</v>
      </c>
      <c r="H33" s="1">
        <f t="shared" si="1"/>
        <v>0.21</v>
      </c>
      <c r="I33" s="1">
        <v>-1.9</v>
      </c>
      <c r="J33" s="1">
        <v>2.57</v>
      </c>
      <c r="K33" s="1">
        <f>Tabela_Piony_0[[#This Row],[hg]]-Tabela_Piony_0[[#This Row],[hd]]</f>
        <v>4.47</v>
      </c>
      <c r="L33" s="1">
        <f>Tabela_Piony_0[[#This Row],[h '[m']]]*Tabela_Piony_0[[#This Row],[A '[m2']]]</f>
        <v>0.93869999999999987</v>
      </c>
      <c r="M33" s="1">
        <f>PRODUCT(Tabela_Piony_0[[#This Row],[Szt.]],Tabela_Piony_0[[#This Row],[Vj '[m3']]])</f>
        <v>2.8160999999999996</v>
      </c>
      <c r="N33" s="1"/>
      <c r="O33" s="1"/>
    </row>
    <row r="34" spans="2:15" x14ac:dyDescent="0.3">
      <c r="B34" t="s">
        <v>175</v>
      </c>
      <c r="C34" t="s">
        <v>169</v>
      </c>
      <c r="D34">
        <v>2</v>
      </c>
      <c r="E34" t="s">
        <v>47</v>
      </c>
      <c r="F34">
        <v>0.35</v>
      </c>
      <c r="G34">
        <v>0.35</v>
      </c>
      <c r="H34" s="1">
        <f t="shared" ref="H34:H37" si="2">PRODUCT(F34:G34)</f>
        <v>0.12249999999999998</v>
      </c>
      <c r="I34" s="1">
        <v>-1.9</v>
      </c>
      <c r="J34" s="1">
        <v>2.57</v>
      </c>
      <c r="K34" s="1">
        <f>Tabela_Piony_0[[#This Row],[hg]]-Tabela_Piony_0[[#This Row],[hd]]</f>
        <v>4.47</v>
      </c>
      <c r="L34" s="1">
        <f>Tabela_Piony_0[[#This Row],[h '[m']]]*Tabela_Piony_0[[#This Row],[A '[m2']]]</f>
        <v>0.54757499999999992</v>
      </c>
      <c r="M34" s="1">
        <f>PRODUCT(Tabela_Piony_0[[#This Row],[Szt.]],Tabela_Piony_0[[#This Row],[Vj '[m3']]])</f>
        <v>1.0951499999999998</v>
      </c>
      <c r="N34" s="1"/>
      <c r="O34" s="1"/>
    </row>
    <row r="35" spans="2:15" x14ac:dyDescent="0.3">
      <c r="B35" t="s">
        <v>175</v>
      </c>
      <c r="C35" t="s">
        <v>169</v>
      </c>
      <c r="D35">
        <v>1</v>
      </c>
      <c r="E35" t="s">
        <v>48</v>
      </c>
      <c r="F35">
        <v>0.35</v>
      </c>
      <c r="G35">
        <v>0.35</v>
      </c>
      <c r="H35" s="1">
        <f t="shared" si="2"/>
        <v>0.12249999999999998</v>
      </c>
      <c r="I35" s="1">
        <v>-1.6</v>
      </c>
      <c r="J35" s="1">
        <v>2.57</v>
      </c>
      <c r="K35" s="1">
        <f>Tabela_Piony_0[[#This Row],[hg]]-Tabela_Piony_0[[#This Row],[hd]]</f>
        <v>4.17</v>
      </c>
      <c r="L35" s="1">
        <f>Tabela_Piony_0[[#This Row],[h '[m']]]*Tabela_Piony_0[[#This Row],[A '[m2']]]</f>
        <v>0.51082499999999997</v>
      </c>
      <c r="M35" s="1">
        <f>PRODUCT(Tabela_Piony_0[[#This Row],[Szt.]],Tabela_Piony_0[[#This Row],[Vj '[m3']]])</f>
        <v>0.51082499999999997</v>
      </c>
      <c r="N35" s="1"/>
      <c r="O35" s="1"/>
    </row>
    <row r="36" spans="2:15" x14ac:dyDescent="0.3">
      <c r="B36" t="s">
        <v>175</v>
      </c>
      <c r="C36" t="s">
        <v>169</v>
      </c>
      <c r="D36">
        <v>1</v>
      </c>
      <c r="E36" t="s">
        <v>48</v>
      </c>
      <c r="F36">
        <v>0.35</v>
      </c>
      <c r="G36">
        <v>0.35</v>
      </c>
      <c r="H36" s="1">
        <f t="shared" si="2"/>
        <v>0.12249999999999998</v>
      </c>
      <c r="I36" s="1">
        <v>-1.6</v>
      </c>
      <c r="J36" s="1">
        <v>2.4</v>
      </c>
      <c r="K36" s="1">
        <f>Tabela_Piony_0[[#This Row],[hg]]-Tabela_Piony_0[[#This Row],[hd]]</f>
        <v>4</v>
      </c>
      <c r="L36" s="1">
        <f>Tabela_Piony_0[[#This Row],[h '[m']]]*Tabela_Piony_0[[#This Row],[A '[m2']]]</f>
        <v>0.48999999999999994</v>
      </c>
      <c r="M36" s="1">
        <f>PRODUCT(Tabela_Piony_0[[#This Row],[Szt.]],Tabela_Piony_0[[#This Row],[Vj '[m3']]])</f>
        <v>0.48999999999999994</v>
      </c>
      <c r="N36" s="1"/>
      <c r="O36" s="1"/>
    </row>
    <row r="37" spans="2:15" x14ac:dyDescent="0.3">
      <c r="B37" t="s">
        <v>175</v>
      </c>
      <c r="C37" t="s">
        <v>169</v>
      </c>
      <c r="D37">
        <v>2</v>
      </c>
      <c r="E37" t="s">
        <v>49</v>
      </c>
      <c r="F37">
        <v>0.35</v>
      </c>
      <c r="G37">
        <v>0.35</v>
      </c>
      <c r="H37" s="1">
        <f t="shared" si="2"/>
        <v>0.12249999999999998</v>
      </c>
      <c r="I37" s="1">
        <v>-1.6</v>
      </c>
      <c r="J37" s="1">
        <v>2.57</v>
      </c>
      <c r="K37" s="1">
        <f>Tabela_Piony_0[[#This Row],[hg]]-Tabela_Piony_0[[#This Row],[hd]]</f>
        <v>4.17</v>
      </c>
      <c r="L37" s="1">
        <f>Tabela_Piony_0[[#This Row],[h '[m']]]*Tabela_Piony_0[[#This Row],[A '[m2']]]</f>
        <v>0.51082499999999997</v>
      </c>
      <c r="M37" s="1">
        <f>PRODUCT(Tabela_Piony_0[[#This Row],[Szt.]],Tabela_Piony_0[[#This Row],[Vj '[m3']]])</f>
        <v>1.0216499999999999</v>
      </c>
      <c r="N37" s="1"/>
      <c r="O37" s="1"/>
    </row>
    <row r="38" spans="2:15" x14ac:dyDescent="0.3">
      <c r="B38" t="s">
        <v>175</v>
      </c>
      <c r="C38" t="s">
        <v>169</v>
      </c>
      <c r="D38">
        <v>5</v>
      </c>
      <c r="E38" t="s">
        <v>50</v>
      </c>
      <c r="F38">
        <v>0.4</v>
      </c>
      <c r="H38" s="1">
        <f>PI()*Tabela_Piony_0[[#This Row],[L '[m']]]^2/4</f>
        <v>0.12566370614359174</v>
      </c>
      <c r="I38" s="1">
        <v>-1.6</v>
      </c>
      <c r="J38" s="1">
        <v>2.57</v>
      </c>
      <c r="K38" s="1">
        <f>Tabela_Piony_0[[#This Row],[hg]]-Tabela_Piony_0[[#This Row],[hd]]</f>
        <v>4.17</v>
      </c>
      <c r="L38" s="1">
        <f>Tabela_Piony_0[[#This Row],[h '[m']]]*Tabela_Piony_0[[#This Row],[A '[m2']]]</f>
        <v>0.52401765461877758</v>
      </c>
      <c r="M38" s="1">
        <f>PRODUCT(Tabela_Piony_0[[#This Row],[Szt.]],Tabela_Piony_0[[#This Row],[Vj '[m3']]])</f>
        <v>2.6200882730938879</v>
      </c>
      <c r="N38" s="1"/>
      <c r="O38" s="1"/>
    </row>
    <row r="39" spans="2:15" x14ac:dyDescent="0.3">
      <c r="B39" t="s">
        <v>175</v>
      </c>
      <c r="C39" t="s">
        <v>169</v>
      </c>
      <c r="D39">
        <v>2</v>
      </c>
      <c r="E39" t="s">
        <v>51</v>
      </c>
      <c r="F39">
        <v>0.4</v>
      </c>
      <c r="H39" s="1">
        <f>PI()*Tabela_Piony_0[[#This Row],[L '[m']]]^2/4</f>
        <v>0.12566370614359174</v>
      </c>
      <c r="I39" s="1">
        <v>-1.9</v>
      </c>
      <c r="J39" s="1">
        <v>2.57</v>
      </c>
      <c r="K39" s="1">
        <f>Tabela_Piony_0[[#This Row],[hg]]-Tabela_Piony_0[[#This Row],[hd]]</f>
        <v>4.47</v>
      </c>
      <c r="L39" s="1">
        <f>Tabela_Piony_0[[#This Row],[h '[m']]]*Tabela_Piony_0[[#This Row],[A '[m2']]]</f>
        <v>0.56171676646185498</v>
      </c>
      <c r="M39" s="1">
        <f>PRODUCT(Tabela_Piony_0[[#This Row],[Szt.]],Tabela_Piony_0[[#This Row],[Vj '[m3']]])</f>
        <v>1.12343353292371</v>
      </c>
      <c r="N39" s="1"/>
      <c r="O39" s="1"/>
    </row>
    <row r="40" spans="2:15" x14ac:dyDescent="0.3">
      <c r="B40" t="s">
        <v>175</v>
      </c>
      <c r="C40" t="s">
        <v>169</v>
      </c>
      <c r="D40">
        <v>1</v>
      </c>
      <c r="E40" t="s">
        <v>52</v>
      </c>
      <c r="F40">
        <v>0.4</v>
      </c>
      <c r="G40">
        <v>0.35</v>
      </c>
      <c r="H40" s="1">
        <f t="shared" ref="H40:H60" si="3">PRODUCT(F40:G40)</f>
        <v>0.13999999999999999</v>
      </c>
      <c r="I40" s="1">
        <v>-1.6</v>
      </c>
      <c r="J40" s="1">
        <v>2.57</v>
      </c>
      <c r="K40" s="1">
        <f>Tabela_Piony_0[[#This Row],[hg]]-Tabela_Piony_0[[#This Row],[hd]]</f>
        <v>4.17</v>
      </c>
      <c r="L40" s="1">
        <f>Tabela_Piony_0[[#This Row],[h '[m']]]*Tabela_Piony_0[[#This Row],[A '[m2']]]</f>
        <v>0.58379999999999987</v>
      </c>
      <c r="M40" s="1">
        <f>PRODUCT(Tabela_Piony_0[[#This Row],[Szt.]],Tabela_Piony_0[[#This Row],[Vj '[m3']]])</f>
        <v>0.58379999999999987</v>
      </c>
      <c r="N40" s="1"/>
      <c r="O40" s="1"/>
    </row>
    <row r="41" spans="2:15" x14ac:dyDescent="0.3">
      <c r="B41" t="s">
        <v>175</v>
      </c>
      <c r="C41" t="s">
        <v>169</v>
      </c>
      <c r="D41">
        <v>1</v>
      </c>
      <c r="E41" t="s">
        <v>53</v>
      </c>
      <c r="F41">
        <f>(1.49+1.55)/2</f>
        <v>1.52</v>
      </c>
      <c r="G41">
        <v>0.35</v>
      </c>
      <c r="H41" s="1">
        <f t="shared" si="3"/>
        <v>0.53199999999999992</v>
      </c>
      <c r="I41" s="1">
        <v>-1.6</v>
      </c>
      <c r="J41" s="1">
        <v>2.4</v>
      </c>
      <c r="K41" s="1">
        <f>Tabela_Piony_0[[#This Row],[hg]]-Tabela_Piony_0[[#This Row],[hd]]</f>
        <v>4</v>
      </c>
      <c r="L41" s="1">
        <f>Tabela_Piony_0[[#This Row],[h '[m']]]*Tabela_Piony_0[[#This Row],[A '[m2']]]</f>
        <v>2.1279999999999997</v>
      </c>
      <c r="M41" s="1">
        <f>PRODUCT(Tabela_Piony_0[[#This Row],[Szt.]],Tabela_Piony_0[[#This Row],[Vj '[m3']]])</f>
        <v>2.1279999999999997</v>
      </c>
      <c r="N41" s="1"/>
      <c r="O41" s="1"/>
    </row>
    <row r="42" spans="2:15" x14ac:dyDescent="0.3">
      <c r="B42" t="s">
        <v>176</v>
      </c>
      <c r="C42" t="s">
        <v>169</v>
      </c>
      <c r="E42" t="s">
        <v>55</v>
      </c>
      <c r="F42">
        <v>0.6</v>
      </c>
      <c r="G42">
        <v>0.25</v>
      </c>
      <c r="H42" s="1">
        <f t="shared" si="3"/>
        <v>0.15</v>
      </c>
      <c r="I42" s="1">
        <v>-1</v>
      </c>
      <c r="J42" s="1">
        <v>2.57</v>
      </c>
      <c r="K42" s="1">
        <f>Tabela_Piony_0[[#This Row],[hg]]-Tabela_Piony_0[[#This Row],[hd]]</f>
        <v>3.57</v>
      </c>
      <c r="L42" s="1">
        <f>Tabela_Piony_0[[#This Row],[h '[m']]]*Tabela_Piony_0[[#This Row],[A '[m2']]]</f>
        <v>0.53549999999999998</v>
      </c>
      <c r="M42" s="1">
        <f>PRODUCT(Tabela_Piony_0[[#This Row],[Szt.]],Tabela_Piony_0[[#This Row],[Vj '[m3']]])</f>
        <v>0.53549999999999998</v>
      </c>
      <c r="N42" s="1"/>
      <c r="O42" s="1"/>
    </row>
    <row r="43" spans="2:15" x14ac:dyDescent="0.3">
      <c r="B43" t="s">
        <v>176</v>
      </c>
      <c r="C43" t="s">
        <v>169</v>
      </c>
      <c r="E43" t="s">
        <v>56</v>
      </c>
      <c r="F43">
        <v>0.6</v>
      </c>
      <c r="G43">
        <v>0.25</v>
      </c>
      <c r="H43" s="1">
        <f t="shared" si="3"/>
        <v>0.15</v>
      </c>
      <c r="I43" s="1">
        <v>-1.1000000000000001</v>
      </c>
      <c r="J43" s="1">
        <v>2.57</v>
      </c>
      <c r="K43" s="1">
        <f>Tabela_Piony_0[[#This Row],[hg]]-Tabela_Piony_0[[#This Row],[hd]]</f>
        <v>3.67</v>
      </c>
      <c r="L43" s="1">
        <f>Tabela_Piony_0[[#This Row],[h '[m']]]*Tabela_Piony_0[[#This Row],[A '[m2']]]</f>
        <v>0.55049999999999999</v>
      </c>
      <c r="M43" s="1">
        <f>PRODUCT(Tabela_Piony_0[[#This Row],[Szt.]],Tabela_Piony_0[[#This Row],[Vj '[m3']]])</f>
        <v>0.55049999999999999</v>
      </c>
      <c r="N43" s="1"/>
      <c r="O43" s="1"/>
    </row>
    <row r="44" spans="2:15" x14ac:dyDescent="0.3">
      <c r="B44" t="s">
        <v>176</v>
      </c>
      <c r="C44" t="s">
        <v>169</v>
      </c>
      <c r="E44" t="s">
        <v>57</v>
      </c>
      <c r="F44">
        <v>0.35</v>
      </c>
      <c r="G44">
        <v>0.18</v>
      </c>
      <c r="H44" s="1">
        <f t="shared" si="3"/>
        <v>6.3E-2</v>
      </c>
      <c r="I44" s="1">
        <v>-1</v>
      </c>
      <c r="J44" s="1">
        <v>2.33</v>
      </c>
      <c r="K44" s="1">
        <f>Tabela_Piony_0[[#This Row],[hg]]-Tabela_Piony_0[[#This Row],[hd]]</f>
        <v>3.33</v>
      </c>
      <c r="L44" s="1">
        <f>Tabela_Piony_0[[#This Row],[h '[m']]]*Tabela_Piony_0[[#This Row],[A '[m2']]]</f>
        <v>0.20979</v>
      </c>
      <c r="M44" s="1">
        <f>PRODUCT(Tabela_Piony_0[[#This Row],[Szt.]],Tabela_Piony_0[[#This Row],[Vj '[m3']]])</f>
        <v>0.20979</v>
      </c>
      <c r="N44" s="1"/>
      <c r="O44" s="1"/>
    </row>
    <row r="45" spans="2:15" x14ac:dyDescent="0.3">
      <c r="B45" t="s">
        <v>176</v>
      </c>
      <c r="C45" t="s">
        <v>169</v>
      </c>
      <c r="E45" t="s">
        <v>57</v>
      </c>
      <c r="F45">
        <v>0.35</v>
      </c>
      <c r="G45">
        <v>0.18</v>
      </c>
      <c r="H45" s="1">
        <f t="shared" si="3"/>
        <v>6.3E-2</v>
      </c>
      <c r="I45" s="1">
        <v>-1</v>
      </c>
      <c r="J45" s="1">
        <v>2.33</v>
      </c>
      <c r="K45" s="1">
        <f>Tabela_Piony_0[[#This Row],[hg]]-Tabela_Piony_0[[#This Row],[hd]]</f>
        <v>3.33</v>
      </c>
      <c r="L45" s="1">
        <f>Tabela_Piony_0[[#This Row],[h '[m']]]*Tabela_Piony_0[[#This Row],[A '[m2']]]</f>
        <v>0.20979</v>
      </c>
      <c r="M45" s="1">
        <f>PRODUCT(Tabela_Piony_0[[#This Row],[Szt.]],Tabela_Piony_0[[#This Row],[Vj '[m3']]])</f>
        <v>0.20979</v>
      </c>
      <c r="N45" s="1"/>
      <c r="O45" s="1"/>
    </row>
    <row r="46" spans="2:15" x14ac:dyDescent="0.3">
      <c r="B46" t="s">
        <v>176</v>
      </c>
      <c r="C46" t="s">
        <v>169</v>
      </c>
      <c r="E46" t="s">
        <v>57</v>
      </c>
      <c r="F46">
        <v>0.35</v>
      </c>
      <c r="G46">
        <v>0.18</v>
      </c>
      <c r="H46" s="1">
        <f t="shared" si="3"/>
        <v>6.3E-2</v>
      </c>
      <c r="I46" s="1">
        <v>-1</v>
      </c>
      <c r="J46" s="1">
        <v>2.33</v>
      </c>
      <c r="K46" s="1">
        <f>Tabela_Piony_0[[#This Row],[hg]]-Tabela_Piony_0[[#This Row],[hd]]</f>
        <v>3.33</v>
      </c>
      <c r="L46" s="1">
        <f>Tabela_Piony_0[[#This Row],[h '[m']]]*Tabela_Piony_0[[#This Row],[A '[m2']]]</f>
        <v>0.20979</v>
      </c>
      <c r="M46" s="1">
        <f>PRODUCT(Tabela_Piony_0[[#This Row],[Szt.]],Tabela_Piony_0[[#This Row],[Vj '[m3']]])</f>
        <v>0.20979</v>
      </c>
      <c r="N46" s="1"/>
      <c r="O46" s="1"/>
    </row>
    <row r="47" spans="2:15" x14ac:dyDescent="0.3">
      <c r="B47" t="s">
        <v>176</v>
      </c>
      <c r="C47" t="s">
        <v>169</v>
      </c>
      <c r="E47" t="s">
        <v>57</v>
      </c>
      <c r="F47">
        <v>0.35</v>
      </c>
      <c r="G47">
        <v>0.18</v>
      </c>
      <c r="H47" s="1">
        <f t="shared" si="3"/>
        <v>6.3E-2</v>
      </c>
      <c r="I47" s="1">
        <v>-1</v>
      </c>
      <c r="J47" s="1">
        <v>2.33</v>
      </c>
      <c r="K47" s="1">
        <f>Tabela_Piony_0[[#This Row],[hg]]-Tabela_Piony_0[[#This Row],[hd]]</f>
        <v>3.33</v>
      </c>
      <c r="L47" s="1">
        <f>Tabela_Piony_0[[#This Row],[h '[m']]]*Tabela_Piony_0[[#This Row],[A '[m2']]]</f>
        <v>0.20979</v>
      </c>
      <c r="M47" s="1">
        <f>PRODUCT(Tabela_Piony_0[[#This Row],[Szt.]],Tabela_Piony_0[[#This Row],[Vj '[m3']]])</f>
        <v>0.20979</v>
      </c>
      <c r="N47" s="1"/>
      <c r="O47" s="1"/>
    </row>
    <row r="48" spans="2:15" x14ac:dyDescent="0.3">
      <c r="B48" t="s">
        <v>176</v>
      </c>
      <c r="C48" t="s">
        <v>169</v>
      </c>
      <c r="E48" t="s">
        <v>58</v>
      </c>
      <c r="F48">
        <v>0.35</v>
      </c>
      <c r="G48">
        <v>0.18</v>
      </c>
      <c r="H48" s="1">
        <f t="shared" si="3"/>
        <v>6.3E-2</v>
      </c>
      <c r="I48" s="1">
        <v>-1</v>
      </c>
      <c r="J48" s="1">
        <v>2.7</v>
      </c>
      <c r="K48" s="1">
        <f>Tabela_Piony_0[[#This Row],[hg]]-Tabela_Piony_0[[#This Row],[hd]]</f>
        <v>3.7</v>
      </c>
      <c r="L48" s="1">
        <f>Tabela_Piony_0[[#This Row],[h '[m']]]*Tabela_Piony_0[[#This Row],[A '[m2']]]</f>
        <v>0.2331</v>
      </c>
      <c r="M48" s="1">
        <f>PRODUCT(Tabela_Piony_0[[#This Row],[Szt.]],Tabela_Piony_0[[#This Row],[Vj '[m3']]])</f>
        <v>0.2331</v>
      </c>
      <c r="N48" s="1"/>
      <c r="O48" s="1"/>
    </row>
    <row r="49" spans="2:15" x14ac:dyDescent="0.3">
      <c r="B49" t="s">
        <v>176</v>
      </c>
      <c r="C49" t="s">
        <v>169</v>
      </c>
      <c r="F49">
        <v>0.35</v>
      </c>
      <c r="G49">
        <v>0.18</v>
      </c>
      <c r="H49" s="1">
        <f t="shared" si="3"/>
        <v>6.3E-2</v>
      </c>
      <c r="I49" s="1">
        <v>-1</v>
      </c>
      <c r="J49" s="1">
        <v>2.7</v>
      </c>
      <c r="K49" s="1">
        <f>Tabela_Piony_0[[#This Row],[hg]]-Tabela_Piony_0[[#This Row],[hd]]</f>
        <v>3.7</v>
      </c>
      <c r="L49" s="1"/>
      <c r="M49" s="1">
        <f>PRODUCT(Tabela_Piony_0[[#This Row],[Szt.]],Tabela_Piony_0[[#This Row],[Vj '[m3']]])</f>
        <v>0</v>
      </c>
      <c r="N49" s="1" t="s">
        <v>95</v>
      </c>
      <c r="O49" s="1"/>
    </row>
    <row r="50" spans="2:15" x14ac:dyDescent="0.3">
      <c r="B50" t="s">
        <v>176</v>
      </c>
      <c r="C50" t="s">
        <v>169</v>
      </c>
      <c r="E50" t="s">
        <v>58</v>
      </c>
      <c r="F50">
        <v>0.35</v>
      </c>
      <c r="G50">
        <v>0.18</v>
      </c>
      <c r="H50" s="1">
        <f t="shared" si="3"/>
        <v>6.3E-2</v>
      </c>
      <c r="I50" s="1">
        <v>-1</v>
      </c>
      <c r="J50" s="1">
        <v>2.7</v>
      </c>
      <c r="K50" s="1">
        <f>Tabela_Piony_0[[#This Row],[hg]]-Tabela_Piony_0[[#This Row],[hd]]</f>
        <v>3.7</v>
      </c>
      <c r="L50" s="1">
        <f>Tabela_Piony_0[[#This Row],[h '[m']]]*Tabela_Piony_0[[#This Row],[A '[m2']]]</f>
        <v>0.2331</v>
      </c>
      <c r="M50" s="1">
        <f>PRODUCT(Tabela_Piony_0[[#This Row],[Szt.]],Tabela_Piony_0[[#This Row],[Vj '[m3']]])</f>
        <v>0.2331</v>
      </c>
      <c r="N50" s="1"/>
      <c r="O50" s="1"/>
    </row>
    <row r="51" spans="2:15" x14ac:dyDescent="0.3">
      <c r="B51" t="s">
        <v>176</v>
      </c>
      <c r="C51" t="s">
        <v>169</v>
      </c>
      <c r="E51" t="s">
        <v>58</v>
      </c>
      <c r="F51">
        <v>0.35</v>
      </c>
      <c r="G51">
        <v>0.18</v>
      </c>
      <c r="H51" s="1">
        <f t="shared" si="3"/>
        <v>6.3E-2</v>
      </c>
      <c r="I51" s="1">
        <v>-1</v>
      </c>
      <c r="J51" s="1">
        <v>2.7</v>
      </c>
      <c r="K51" s="1">
        <f>Tabela_Piony_0[[#This Row],[hg]]-Tabela_Piony_0[[#This Row],[hd]]</f>
        <v>3.7</v>
      </c>
      <c r="L51" s="1">
        <f>Tabela_Piony_0[[#This Row],[h '[m']]]*Tabela_Piony_0[[#This Row],[A '[m2']]]</f>
        <v>0.2331</v>
      </c>
      <c r="M51" s="1">
        <f>PRODUCT(Tabela_Piony_0[[#This Row],[Szt.]],Tabela_Piony_0[[#This Row],[Vj '[m3']]])</f>
        <v>0.2331</v>
      </c>
      <c r="N51" s="1"/>
      <c r="O51" s="1"/>
    </row>
    <row r="52" spans="2:15" x14ac:dyDescent="0.3">
      <c r="B52" t="s">
        <v>176</v>
      </c>
      <c r="C52" t="s">
        <v>169</v>
      </c>
      <c r="E52" t="s">
        <v>58</v>
      </c>
      <c r="F52">
        <v>0.35</v>
      </c>
      <c r="G52">
        <v>0.18</v>
      </c>
      <c r="H52" s="1">
        <f t="shared" si="3"/>
        <v>6.3E-2</v>
      </c>
      <c r="I52" s="1">
        <v>-1</v>
      </c>
      <c r="J52" s="1">
        <v>2.7</v>
      </c>
      <c r="K52" s="1">
        <f>Tabela_Piony_0[[#This Row],[hg]]-Tabela_Piony_0[[#This Row],[hd]]</f>
        <v>3.7</v>
      </c>
      <c r="L52" s="1">
        <f>Tabela_Piony_0[[#This Row],[h '[m']]]*Tabela_Piony_0[[#This Row],[A '[m2']]]</f>
        <v>0.2331</v>
      </c>
      <c r="M52" s="1">
        <f>PRODUCT(Tabela_Piony_0[[#This Row],[Szt.]],Tabela_Piony_0[[#This Row],[Vj '[m3']]])</f>
        <v>0.2331</v>
      </c>
      <c r="N52" s="1"/>
      <c r="O52" s="1"/>
    </row>
    <row r="53" spans="2:15" x14ac:dyDescent="0.3">
      <c r="B53" t="s">
        <v>176</v>
      </c>
      <c r="C53" t="s">
        <v>169</v>
      </c>
      <c r="E53" t="s">
        <v>58</v>
      </c>
      <c r="F53">
        <v>0.35</v>
      </c>
      <c r="G53">
        <v>0.18</v>
      </c>
      <c r="H53" s="1">
        <f t="shared" si="3"/>
        <v>6.3E-2</v>
      </c>
      <c r="I53" s="1">
        <v>-1</v>
      </c>
      <c r="J53" s="1">
        <v>2.7</v>
      </c>
      <c r="K53" s="1">
        <f>Tabela_Piony_0[[#This Row],[hg]]-Tabela_Piony_0[[#This Row],[hd]]</f>
        <v>3.7</v>
      </c>
      <c r="L53" s="1">
        <f>Tabela_Piony_0[[#This Row],[h '[m']]]*Tabela_Piony_0[[#This Row],[A '[m2']]]</f>
        <v>0.2331</v>
      </c>
      <c r="M53" s="1">
        <f>PRODUCT(Tabela_Piony_0[[#This Row],[Szt.]],Tabela_Piony_0[[#This Row],[Vj '[m3']]])</f>
        <v>0.2331</v>
      </c>
      <c r="N53" s="1"/>
      <c r="O53" s="1"/>
    </row>
    <row r="54" spans="2:15" x14ac:dyDescent="0.3">
      <c r="B54" t="s">
        <v>176</v>
      </c>
      <c r="C54" t="s">
        <v>169</v>
      </c>
      <c r="E54" t="s">
        <v>59</v>
      </c>
      <c r="F54">
        <v>0.35</v>
      </c>
      <c r="G54">
        <v>0.25</v>
      </c>
      <c r="H54" s="1">
        <f t="shared" si="3"/>
        <v>8.7499999999999994E-2</v>
      </c>
      <c r="I54" s="1">
        <v>-1</v>
      </c>
      <c r="J54" s="1">
        <v>2.57</v>
      </c>
      <c r="K54" s="1">
        <f>Tabela_Piony_0[[#This Row],[hg]]-Tabela_Piony_0[[#This Row],[hd]]</f>
        <v>3.57</v>
      </c>
      <c r="L54" s="1">
        <f>Tabela_Piony_0[[#This Row],[h '[m']]]*Tabela_Piony_0[[#This Row],[A '[m2']]]</f>
        <v>0.31237499999999996</v>
      </c>
      <c r="M54" s="1">
        <f>PRODUCT(Tabela_Piony_0[[#This Row],[Szt.]],Tabela_Piony_0[[#This Row],[Vj '[m3']]])</f>
        <v>0.31237499999999996</v>
      </c>
      <c r="N54" s="1"/>
      <c r="O54" s="1"/>
    </row>
    <row r="55" spans="2:15" x14ac:dyDescent="0.3">
      <c r="B55" t="s">
        <v>176</v>
      </c>
      <c r="C55" t="s">
        <v>169</v>
      </c>
      <c r="E55" t="s">
        <v>59</v>
      </c>
      <c r="F55">
        <v>0.35</v>
      </c>
      <c r="G55">
        <v>0.25</v>
      </c>
      <c r="H55" s="1">
        <f t="shared" si="3"/>
        <v>8.7499999999999994E-2</v>
      </c>
      <c r="I55" s="1">
        <v>-1</v>
      </c>
      <c r="J55" s="1">
        <v>2.57</v>
      </c>
      <c r="K55" s="1">
        <f>Tabela_Piony_0[[#This Row],[hg]]-Tabela_Piony_0[[#This Row],[hd]]</f>
        <v>3.57</v>
      </c>
      <c r="L55" s="1">
        <f>Tabela_Piony_0[[#This Row],[h '[m']]]*Tabela_Piony_0[[#This Row],[A '[m2']]]</f>
        <v>0.31237499999999996</v>
      </c>
      <c r="M55" s="1">
        <f>PRODUCT(Tabela_Piony_0[[#This Row],[Szt.]],Tabela_Piony_0[[#This Row],[Vj '[m3']]])</f>
        <v>0.31237499999999996</v>
      </c>
      <c r="N55" s="1"/>
      <c r="O55" s="1"/>
    </row>
    <row r="56" spans="2:15" x14ac:dyDescent="0.3">
      <c r="B56" t="s">
        <v>176</v>
      </c>
      <c r="C56" t="s">
        <v>169</v>
      </c>
      <c r="E56" t="s">
        <v>59</v>
      </c>
      <c r="F56">
        <v>0.35</v>
      </c>
      <c r="G56">
        <v>0.25</v>
      </c>
      <c r="H56" s="1">
        <f t="shared" si="3"/>
        <v>8.7499999999999994E-2</v>
      </c>
      <c r="I56" s="1">
        <v>-1</v>
      </c>
      <c r="J56" s="1">
        <v>2.57</v>
      </c>
      <c r="K56" s="1">
        <f>Tabela_Piony_0[[#This Row],[hg]]-Tabela_Piony_0[[#This Row],[hd]]</f>
        <v>3.57</v>
      </c>
      <c r="L56" s="1">
        <f>Tabela_Piony_0[[#This Row],[h '[m']]]*Tabela_Piony_0[[#This Row],[A '[m2']]]</f>
        <v>0.31237499999999996</v>
      </c>
      <c r="M56" s="1">
        <f>PRODUCT(Tabela_Piony_0[[#This Row],[Szt.]],Tabela_Piony_0[[#This Row],[Vj '[m3']]])</f>
        <v>0.31237499999999996</v>
      </c>
      <c r="N56" s="1"/>
      <c r="O56" s="1"/>
    </row>
    <row r="57" spans="2:15" x14ac:dyDescent="0.3">
      <c r="B57" t="s">
        <v>176</v>
      </c>
      <c r="C57" t="s">
        <v>169</v>
      </c>
      <c r="E57" t="s">
        <v>59</v>
      </c>
      <c r="F57">
        <v>0.35</v>
      </c>
      <c r="G57">
        <v>0.25</v>
      </c>
      <c r="H57" s="1">
        <f t="shared" si="3"/>
        <v>8.7499999999999994E-2</v>
      </c>
      <c r="I57" s="1">
        <v>-1</v>
      </c>
      <c r="J57" s="1">
        <v>2.57</v>
      </c>
      <c r="K57" s="1">
        <f>Tabela_Piony_0[[#This Row],[hg]]-Tabela_Piony_0[[#This Row],[hd]]</f>
        <v>3.57</v>
      </c>
      <c r="L57" s="1">
        <f>Tabela_Piony_0[[#This Row],[h '[m']]]*Tabela_Piony_0[[#This Row],[A '[m2']]]</f>
        <v>0.31237499999999996</v>
      </c>
      <c r="M57" s="1">
        <f>PRODUCT(Tabela_Piony_0[[#This Row],[Szt.]],Tabela_Piony_0[[#This Row],[Vj '[m3']]])</f>
        <v>0.31237499999999996</v>
      </c>
      <c r="N57" s="1"/>
      <c r="O57" s="1"/>
    </row>
    <row r="58" spans="2:15" x14ac:dyDescent="0.3">
      <c r="B58" t="s">
        <v>176</v>
      </c>
      <c r="C58" t="s">
        <v>169</v>
      </c>
      <c r="E58" t="s">
        <v>60</v>
      </c>
      <c r="F58">
        <v>0.4</v>
      </c>
      <c r="G58">
        <v>0.25</v>
      </c>
      <c r="H58" s="1">
        <f t="shared" si="3"/>
        <v>0.1</v>
      </c>
      <c r="I58" s="1">
        <v>-1.9</v>
      </c>
      <c r="J58" s="1">
        <v>2.57</v>
      </c>
      <c r="K58" s="1">
        <f>Tabela_Piony_0[[#This Row],[hg]]-Tabela_Piony_0[[#This Row],[hd]]</f>
        <v>4.47</v>
      </c>
      <c r="L58" s="1">
        <f>Tabela_Piony_0[[#This Row],[h '[m']]]*Tabela_Piony_0[[#This Row],[A '[m2']]]</f>
        <v>0.44700000000000001</v>
      </c>
      <c r="M58" s="1">
        <f>PRODUCT(Tabela_Piony_0[[#This Row],[Szt.]],Tabela_Piony_0[[#This Row],[Vj '[m3']]])</f>
        <v>0.44700000000000001</v>
      </c>
      <c r="N58" s="1"/>
      <c r="O58" s="1"/>
    </row>
    <row r="59" spans="2:15" x14ac:dyDescent="0.3">
      <c r="B59" t="s">
        <v>176</v>
      </c>
      <c r="C59" t="s">
        <v>169</v>
      </c>
      <c r="E59" t="s">
        <v>61</v>
      </c>
      <c r="F59">
        <v>0.6</v>
      </c>
      <c r="G59">
        <v>0.18</v>
      </c>
      <c r="H59" s="1">
        <f t="shared" si="3"/>
        <v>0.108</v>
      </c>
      <c r="I59" s="1">
        <v>-1</v>
      </c>
      <c r="J59" s="1">
        <v>2.33</v>
      </c>
      <c r="K59" s="1">
        <f>Tabela_Piony_0[[#This Row],[hg]]-Tabela_Piony_0[[#This Row],[hd]]</f>
        <v>3.33</v>
      </c>
      <c r="L59" s="1">
        <f>Tabela_Piony_0[[#This Row],[h '[m']]]*Tabela_Piony_0[[#This Row],[A '[m2']]]</f>
        <v>0.35964000000000002</v>
      </c>
      <c r="M59" s="1">
        <f>PRODUCT(Tabela_Piony_0[[#This Row],[Szt.]],Tabela_Piony_0[[#This Row],[Vj '[m3']]])</f>
        <v>0.35964000000000002</v>
      </c>
      <c r="N59" s="1"/>
      <c r="O59" s="1"/>
    </row>
    <row r="60" spans="2:15" x14ac:dyDescent="0.3">
      <c r="B60" t="s">
        <v>176</v>
      </c>
      <c r="C60" t="s">
        <v>169</v>
      </c>
      <c r="E60" t="s">
        <v>61</v>
      </c>
      <c r="F60">
        <v>0.6</v>
      </c>
      <c r="G60">
        <v>0.18</v>
      </c>
      <c r="H60" s="1">
        <f t="shared" si="3"/>
        <v>0.108</v>
      </c>
      <c r="I60" s="1">
        <v>-1</v>
      </c>
      <c r="J60" s="1">
        <v>2.33</v>
      </c>
      <c r="K60" s="1">
        <f>Tabela_Piony_0[[#This Row],[hg]]-Tabela_Piony_0[[#This Row],[hd]]</f>
        <v>3.33</v>
      </c>
      <c r="L60" s="1">
        <f>Tabela_Piony_0[[#This Row],[h '[m']]]*Tabela_Piony_0[[#This Row],[A '[m2']]]</f>
        <v>0.35964000000000002</v>
      </c>
      <c r="M60" s="1">
        <f>PRODUCT(Tabela_Piony_0[[#This Row],[Szt.]],Tabela_Piony_0[[#This Row],[Vj '[m3']]])</f>
        <v>0.35964000000000002</v>
      </c>
      <c r="N60" s="1"/>
      <c r="O60" s="1"/>
    </row>
    <row r="64" spans="2:15" x14ac:dyDescent="0.3">
      <c r="B64" s="2" t="s">
        <v>67</v>
      </c>
      <c r="C64" t="s">
        <v>70</v>
      </c>
      <c r="D64" t="s">
        <v>69</v>
      </c>
    </row>
    <row r="65" spans="2:4" x14ac:dyDescent="0.3">
      <c r="B65" s="3" t="s">
        <v>40</v>
      </c>
      <c r="C65">
        <v>65</v>
      </c>
      <c r="D65" s="11">
        <v>47.869946806017609</v>
      </c>
    </row>
    <row r="66" spans="2:4" x14ac:dyDescent="0.3">
      <c r="B66" s="4" t="s">
        <v>39</v>
      </c>
      <c r="C66">
        <v>15</v>
      </c>
      <c r="D66" s="11">
        <v>10.489500000000003</v>
      </c>
    </row>
    <row r="67" spans="2:4" x14ac:dyDescent="0.3">
      <c r="B67" s="4" t="s">
        <v>41</v>
      </c>
      <c r="C67">
        <v>5</v>
      </c>
      <c r="D67" s="11">
        <v>3.4965000000000002</v>
      </c>
    </row>
    <row r="68" spans="2:4" x14ac:dyDescent="0.3">
      <c r="B68" s="4" t="s">
        <v>42</v>
      </c>
      <c r="C68">
        <v>3</v>
      </c>
      <c r="D68" s="11">
        <v>2.2490999999999999</v>
      </c>
    </row>
    <row r="69" spans="2:4" x14ac:dyDescent="0.3">
      <c r="B69" s="4" t="s">
        <v>44</v>
      </c>
      <c r="C69">
        <v>15</v>
      </c>
      <c r="D69" s="11">
        <v>14.395499999999998</v>
      </c>
    </row>
    <row r="70" spans="2:4" x14ac:dyDescent="0.3">
      <c r="B70" s="4" t="s">
        <v>45</v>
      </c>
      <c r="C70">
        <v>1</v>
      </c>
      <c r="D70" s="11">
        <v>0.81269999999999998</v>
      </c>
    </row>
    <row r="71" spans="2:4" x14ac:dyDescent="0.3">
      <c r="B71" s="4" t="s">
        <v>46</v>
      </c>
      <c r="C71">
        <v>3</v>
      </c>
      <c r="D71" s="11">
        <v>2.8160999999999996</v>
      </c>
    </row>
    <row r="72" spans="2:4" x14ac:dyDescent="0.3">
      <c r="B72" s="4" t="s">
        <v>43</v>
      </c>
      <c r="C72">
        <v>8</v>
      </c>
      <c r="D72" s="11">
        <v>4.0375999999999985</v>
      </c>
    </row>
    <row r="73" spans="2:4" x14ac:dyDescent="0.3">
      <c r="B73" s="4" t="s">
        <v>47</v>
      </c>
      <c r="C73">
        <v>2</v>
      </c>
      <c r="D73" s="11">
        <v>1.0951499999999998</v>
      </c>
    </row>
    <row r="74" spans="2:4" x14ac:dyDescent="0.3">
      <c r="B74" s="4" t="s">
        <v>48</v>
      </c>
      <c r="C74">
        <v>2</v>
      </c>
      <c r="D74" s="11">
        <v>1.0008249999999999</v>
      </c>
    </row>
    <row r="75" spans="2:4" x14ac:dyDescent="0.3">
      <c r="B75" s="4" t="s">
        <v>49</v>
      </c>
      <c r="C75">
        <v>2</v>
      </c>
      <c r="D75" s="11">
        <v>1.0216499999999999</v>
      </c>
    </row>
    <row r="76" spans="2:4" x14ac:dyDescent="0.3">
      <c r="B76" s="4" t="s">
        <v>50</v>
      </c>
      <c r="C76">
        <v>5</v>
      </c>
      <c r="D76" s="11">
        <v>2.6200882730938879</v>
      </c>
    </row>
    <row r="77" spans="2:4" x14ac:dyDescent="0.3">
      <c r="B77" s="4" t="s">
        <v>51</v>
      </c>
      <c r="C77">
        <v>2</v>
      </c>
      <c r="D77" s="11">
        <v>1.12343353292371</v>
      </c>
    </row>
    <row r="78" spans="2:4" x14ac:dyDescent="0.3">
      <c r="B78" s="4" t="s">
        <v>52</v>
      </c>
      <c r="C78">
        <v>1</v>
      </c>
      <c r="D78" s="11">
        <v>0.58379999999999987</v>
      </c>
    </row>
    <row r="79" spans="2:4" x14ac:dyDescent="0.3">
      <c r="B79" s="4" t="s">
        <v>53</v>
      </c>
      <c r="C79">
        <v>1</v>
      </c>
      <c r="D79" s="11">
        <v>2.1279999999999997</v>
      </c>
    </row>
    <row r="80" spans="2:4" x14ac:dyDescent="0.3">
      <c r="B80" s="4" t="s">
        <v>74</v>
      </c>
      <c r="D80" s="11"/>
    </row>
    <row r="81" spans="2:4" x14ac:dyDescent="0.3">
      <c r="B81" s="3" t="s">
        <v>62</v>
      </c>
      <c r="C81">
        <v>6</v>
      </c>
      <c r="D81" s="11">
        <v>148.20201600000004</v>
      </c>
    </row>
    <row r="82" spans="2:4" x14ac:dyDescent="0.3">
      <c r="B82" s="4" t="s">
        <v>36</v>
      </c>
      <c r="C82">
        <v>1</v>
      </c>
      <c r="D82" s="11">
        <v>68.479344000000012</v>
      </c>
    </row>
    <row r="83" spans="2:4" x14ac:dyDescent="0.3">
      <c r="B83" s="4" t="s">
        <v>35</v>
      </c>
      <c r="C83">
        <v>1</v>
      </c>
      <c r="D83" s="11">
        <v>13.920983999999999</v>
      </c>
    </row>
    <row r="84" spans="2:4" x14ac:dyDescent="0.3">
      <c r="B84" s="4" t="s">
        <v>63</v>
      </c>
      <c r="C84">
        <v>1</v>
      </c>
      <c r="D84" s="11">
        <v>6.1652879999999994</v>
      </c>
    </row>
    <row r="85" spans="2:4" x14ac:dyDescent="0.3">
      <c r="B85" s="4" t="s">
        <v>64</v>
      </c>
      <c r="C85">
        <v>1</v>
      </c>
      <c r="D85" s="11">
        <v>25.606944000000006</v>
      </c>
    </row>
    <row r="86" spans="2:4" x14ac:dyDescent="0.3">
      <c r="B86" s="4" t="s">
        <v>65</v>
      </c>
      <c r="C86">
        <v>1</v>
      </c>
      <c r="D86" s="11">
        <v>16.951536000000001</v>
      </c>
    </row>
    <row r="87" spans="2:4" x14ac:dyDescent="0.3">
      <c r="B87" s="4" t="s">
        <v>66</v>
      </c>
      <c r="C87">
        <v>1</v>
      </c>
      <c r="D87" s="11">
        <v>17.077919999999999</v>
      </c>
    </row>
    <row r="88" spans="2:4" x14ac:dyDescent="0.3">
      <c r="B88" s="3" t="s">
        <v>54</v>
      </c>
      <c r="C88">
        <v>18</v>
      </c>
      <c r="D88" s="11">
        <v>5.5064399999999987</v>
      </c>
    </row>
    <row r="89" spans="2:4" x14ac:dyDescent="0.3">
      <c r="B89" s="4" t="s">
        <v>55</v>
      </c>
      <c r="C89">
        <v>1</v>
      </c>
      <c r="D89" s="11">
        <v>0.53549999999999998</v>
      </c>
    </row>
    <row r="90" spans="2:4" x14ac:dyDescent="0.3">
      <c r="B90" s="4" t="s">
        <v>56</v>
      </c>
      <c r="C90">
        <v>1</v>
      </c>
      <c r="D90" s="11">
        <v>0.55049999999999999</v>
      </c>
    </row>
    <row r="91" spans="2:4" x14ac:dyDescent="0.3">
      <c r="B91" s="4" t="s">
        <v>57</v>
      </c>
      <c r="C91">
        <v>4</v>
      </c>
      <c r="D91" s="11">
        <v>0.83916000000000002</v>
      </c>
    </row>
    <row r="92" spans="2:4" x14ac:dyDescent="0.3">
      <c r="B92" s="4" t="s">
        <v>58</v>
      </c>
      <c r="C92">
        <v>5</v>
      </c>
      <c r="D92" s="11">
        <v>1.1655</v>
      </c>
    </row>
    <row r="93" spans="2:4" x14ac:dyDescent="0.3">
      <c r="B93" s="4" t="s">
        <v>59</v>
      </c>
      <c r="C93">
        <v>4</v>
      </c>
      <c r="D93" s="11">
        <v>1.2494999999999998</v>
      </c>
    </row>
    <row r="94" spans="2:4" x14ac:dyDescent="0.3">
      <c r="B94" s="4" t="s">
        <v>60</v>
      </c>
      <c r="C94">
        <v>1</v>
      </c>
      <c r="D94" s="11">
        <v>0.44700000000000001</v>
      </c>
    </row>
    <row r="95" spans="2:4" x14ac:dyDescent="0.3">
      <c r="B95" s="4" t="s">
        <v>61</v>
      </c>
      <c r="C95">
        <v>2</v>
      </c>
      <c r="D95" s="11">
        <v>0.71928000000000003</v>
      </c>
    </row>
    <row r="96" spans="2:4" x14ac:dyDescent="0.3">
      <c r="B96" s="4" t="s">
        <v>74</v>
      </c>
      <c r="D96" s="11"/>
    </row>
    <row r="97" spans="2:4" x14ac:dyDescent="0.3">
      <c r="B97" s="3" t="s">
        <v>93</v>
      </c>
      <c r="C97">
        <v>7</v>
      </c>
      <c r="D97" s="11">
        <v>26.934804</v>
      </c>
    </row>
    <row r="98" spans="2:4" x14ac:dyDescent="0.3">
      <c r="B98" s="4" t="s">
        <v>37</v>
      </c>
      <c r="C98">
        <v>1</v>
      </c>
      <c r="D98" s="11">
        <v>3.389904</v>
      </c>
    </row>
    <row r="99" spans="2:4" x14ac:dyDescent="0.3">
      <c r="B99" s="4" t="s">
        <v>34</v>
      </c>
      <c r="C99">
        <v>1</v>
      </c>
      <c r="D99" s="11">
        <v>0.35568</v>
      </c>
    </row>
    <row r="100" spans="2:4" x14ac:dyDescent="0.3">
      <c r="B100" s="4" t="s">
        <v>75</v>
      </c>
      <c r="C100">
        <v>1</v>
      </c>
      <c r="D100" s="11">
        <v>3.915216</v>
      </c>
    </row>
    <row r="101" spans="2:4" x14ac:dyDescent="0.3">
      <c r="B101" s="4" t="s">
        <v>76</v>
      </c>
      <c r="C101">
        <v>1</v>
      </c>
      <c r="D101" s="11">
        <v>2.4143039999999996</v>
      </c>
    </row>
    <row r="102" spans="2:4" x14ac:dyDescent="0.3">
      <c r="B102" s="4" t="s">
        <v>77</v>
      </c>
      <c r="C102">
        <v>1</v>
      </c>
      <c r="D102" s="11">
        <v>11.584188000000001</v>
      </c>
    </row>
    <row r="103" spans="2:4" x14ac:dyDescent="0.3">
      <c r="B103" s="4" t="s">
        <v>78</v>
      </c>
      <c r="C103">
        <v>1</v>
      </c>
      <c r="D103" s="11">
        <v>0.71099999999999997</v>
      </c>
    </row>
    <row r="104" spans="2:4" x14ac:dyDescent="0.3">
      <c r="B104" s="4" t="s">
        <v>73</v>
      </c>
      <c r="C104">
        <v>1</v>
      </c>
      <c r="D104" s="11">
        <v>4.5645120000000006</v>
      </c>
    </row>
    <row r="105" spans="2:4" x14ac:dyDescent="0.3">
      <c r="B105" s="3" t="s">
        <v>68</v>
      </c>
      <c r="C105">
        <v>96</v>
      </c>
      <c r="D105" s="11">
        <v>228.51320680601773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6F50-73D5-4D5A-ACED-70DBEAF451B2}">
  <dimension ref="B3:O207"/>
  <sheetViews>
    <sheetView topLeftCell="B195" zoomScaleNormal="100" workbookViewId="0">
      <selection activeCell="I5" sqref="I5"/>
    </sheetView>
  </sheetViews>
  <sheetFormatPr defaultRowHeight="14.4" x14ac:dyDescent="0.3"/>
  <cols>
    <col min="2" max="2" width="17.88671875" bestFit="1" customWidth="1"/>
    <col min="3" max="3" width="18.109375" bestFit="1" customWidth="1"/>
    <col min="4" max="4" width="10.44140625" bestFit="1" customWidth="1"/>
    <col min="5" max="5" width="13.77734375" bestFit="1" customWidth="1"/>
    <col min="6" max="7" width="13.21875" bestFit="1" customWidth="1"/>
    <col min="8" max="8" width="7.5546875" customWidth="1"/>
    <col min="10" max="10" width="10" customWidth="1"/>
    <col min="11" max="11" width="16.33203125" customWidth="1"/>
    <col min="12" max="12" width="12.33203125" customWidth="1"/>
    <col min="15" max="15" width="12.77734375" customWidth="1"/>
  </cols>
  <sheetData>
    <row r="3" spans="2:15" x14ac:dyDescent="0.3">
      <c r="B3" s="6" t="s">
        <v>148</v>
      </c>
      <c r="C3" s="7"/>
      <c r="D3" s="7"/>
      <c r="E3" s="7"/>
    </row>
    <row r="5" spans="2:15" ht="15.75" customHeight="1" x14ac:dyDescent="0.3">
      <c r="B5" t="s">
        <v>18</v>
      </c>
      <c r="C5" t="s">
        <v>222</v>
      </c>
      <c r="D5" t="s">
        <v>221</v>
      </c>
      <c r="E5" t="s">
        <v>4</v>
      </c>
      <c r="F5" t="s">
        <v>26</v>
      </c>
      <c r="G5" t="s">
        <v>25</v>
      </c>
      <c r="H5" t="s">
        <v>27</v>
      </c>
      <c r="I5" t="s">
        <v>82</v>
      </c>
      <c r="J5" t="s">
        <v>24</v>
      </c>
      <c r="K5" t="s">
        <v>83</v>
      </c>
      <c r="L5" t="s">
        <v>38</v>
      </c>
      <c r="M5" t="s">
        <v>309</v>
      </c>
      <c r="N5" t="s">
        <v>28</v>
      </c>
      <c r="O5" t="s">
        <v>72</v>
      </c>
    </row>
    <row r="6" spans="2:15" x14ac:dyDescent="0.3">
      <c r="B6" t="s">
        <v>140</v>
      </c>
      <c r="C6" t="s">
        <v>169</v>
      </c>
      <c r="D6">
        <v>1</v>
      </c>
      <c r="E6" t="s">
        <v>323</v>
      </c>
      <c r="F6">
        <f>12.13-2.62-0.6</f>
        <v>8.9100000000000019</v>
      </c>
      <c r="G6">
        <v>0.6</v>
      </c>
      <c r="H6" s="1">
        <v>0.8</v>
      </c>
      <c r="I6" s="1"/>
      <c r="J6" s="1">
        <f t="shared" ref="J6:J13" si="0">PRODUCT(F6:G6)</f>
        <v>5.346000000000001</v>
      </c>
      <c r="K6" s="1">
        <v>2.57</v>
      </c>
      <c r="L6" s="1">
        <f>Tabela_Belki_0[[#This Row],[hd]]+Tabela_Belki_0[[#This Row],[h '[m']]]</f>
        <v>3.37</v>
      </c>
      <c r="M6" s="1">
        <f>Tabela_Belki_0[[#This Row],[h '[m']]]*Tabela_Belki_0[[#This Row],[A '[m2']]]</f>
        <v>4.2768000000000006</v>
      </c>
      <c r="N6" s="1">
        <f>PRODUCT(Tabela_Belki_0[[#This Row],[Szt.]],Tabela_Belki_0[[#This Row],[Vj '[m3']]])</f>
        <v>4.2768000000000006</v>
      </c>
      <c r="O6" s="1"/>
    </row>
    <row r="7" spans="2:15" x14ac:dyDescent="0.3">
      <c r="B7" t="s">
        <v>140</v>
      </c>
      <c r="C7" t="s">
        <v>169</v>
      </c>
      <c r="D7">
        <v>1</v>
      </c>
      <c r="E7" t="s">
        <v>324</v>
      </c>
      <c r="F7">
        <f>2.27+0.35-0.35</f>
        <v>2.27</v>
      </c>
      <c r="G7">
        <v>0.6</v>
      </c>
      <c r="H7" s="1">
        <v>0.41</v>
      </c>
      <c r="I7" s="1"/>
      <c r="J7" s="1">
        <f t="shared" si="0"/>
        <v>1.3619999999999999</v>
      </c>
      <c r="K7" s="1">
        <v>2.57</v>
      </c>
      <c r="L7" s="1">
        <f>Tabela_Belki_0[[#This Row],[hd]]+Tabela_Belki_0[[#This Row],[h '[m']]]</f>
        <v>2.98</v>
      </c>
      <c r="M7" s="1">
        <f>Tabela_Belki_0[[#This Row],[h '[m']]]*Tabela_Belki_0[[#This Row],[A '[m2']]]</f>
        <v>0.55841999999999992</v>
      </c>
      <c r="N7" s="1">
        <f>PRODUCT(Tabela_Belki_0[[#This Row],[Szt.]],Tabela_Belki_0[[#This Row],[Vj '[m3']]])</f>
        <v>0.55841999999999992</v>
      </c>
      <c r="O7" s="1"/>
    </row>
    <row r="8" spans="2:15" x14ac:dyDescent="0.3">
      <c r="B8" t="s">
        <v>140</v>
      </c>
      <c r="C8" t="s">
        <v>169</v>
      </c>
      <c r="D8">
        <v>1</v>
      </c>
      <c r="E8" t="s">
        <v>98</v>
      </c>
      <c r="F8">
        <f>11.865-0.35-0.35-0.6</f>
        <v>10.565000000000001</v>
      </c>
      <c r="G8">
        <v>0.6</v>
      </c>
      <c r="H8" s="1">
        <v>0.8</v>
      </c>
      <c r="I8" s="1"/>
      <c r="J8" s="1">
        <f t="shared" si="0"/>
        <v>6.3390000000000004</v>
      </c>
      <c r="K8" s="1">
        <v>2.57</v>
      </c>
      <c r="L8" s="1">
        <f>Tabela_Belki_0[[#This Row],[hd]]+Tabela_Belki_0[[#This Row],[h '[m']]]</f>
        <v>3.37</v>
      </c>
      <c r="M8" s="1">
        <f>Tabela_Belki_0[[#This Row],[h '[m']]]*Tabela_Belki_0[[#This Row],[A '[m2']]]</f>
        <v>5.071200000000001</v>
      </c>
      <c r="N8" s="1">
        <f>PRODUCT(Tabela_Belki_0[[#This Row],[Szt.]],Tabela_Belki_0[[#This Row],[Vj '[m3']]])</f>
        <v>5.071200000000001</v>
      </c>
      <c r="O8" s="1"/>
    </row>
    <row r="9" spans="2:15" x14ac:dyDescent="0.3">
      <c r="B9" t="s">
        <v>140</v>
      </c>
      <c r="C9" t="s">
        <v>169</v>
      </c>
      <c r="D9">
        <v>1</v>
      </c>
      <c r="E9" t="s">
        <v>99</v>
      </c>
      <c r="F9">
        <f>11.865-0.35-0.35-0.6</f>
        <v>10.565000000000001</v>
      </c>
      <c r="G9">
        <v>0.6</v>
      </c>
      <c r="H9" s="1">
        <v>0.8</v>
      </c>
      <c r="I9" s="1"/>
      <c r="J9" s="1">
        <f t="shared" si="0"/>
        <v>6.3390000000000004</v>
      </c>
      <c r="K9" s="1">
        <v>2.57</v>
      </c>
      <c r="L9" s="1">
        <f>Tabela_Belki_0[[#This Row],[hd]]+Tabela_Belki_0[[#This Row],[h '[m']]]</f>
        <v>3.37</v>
      </c>
      <c r="M9" s="1">
        <f>Tabela_Belki_0[[#This Row],[h '[m']]]*Tabela_Belki_0[[#This Row],[A '[m2']]]</f>
        <v>5.071200000000001</v>
      </c>
      <c r="N9" s="1">
        <f>PRODUCT(Tabela_Belki_0[[#This Row],[Szt.]],Tabela_Belki_0[[#This Row],[Vj '[m3']]])</f>
        <v>5.071200000000001</v>
      </c>
      <c r="O9" s="1"/>
    </row>
    <row r="10" spans="2:15" x14ac:dyDescent="0.3">
      <c r="B10" t="s">
        <v>140</v>
      </c>
      <c r="C10" t="s">
        <v>169</v>
      </c>
      <c r="D10">
        <v>1</v>
      </c>
      <c r="E10" t="s">
        <v>100</v>
      </c>
      <c r="F10">
        <f>13.795-0.35-0.6-0.35-0.35</f>
        <v>12.145000000000001</v>
      </c>
      <c r="G10">
        <v>0.6</v>
      </c>
      <c r="H10" s="1">
        <v>0.8</v>
      </c>
      <c r="I10" s="1"/>
      <c r="J10" s="1">
        <f t="shared" si="0"/>
        <v>7.2870000000000008</v>
      </c>
      <c r="K10" s="1">
        <v>2.57</v>
      </c>
      <c r="L10" s="1">
        <f>Tabela_Belki_0[[#This Row],[hd]]+Tabela_Belki_0[[#This Row],[h '[m']]]</f>
        <v>3.37</v>
      </c>
      <c r="M10" s="1">
        <f>Tabela_Belki_0[[#This Row],[h '[m']]]*Tabela_Belki_0[[#This Row],[A '[m2']]]</f>
        <v>5.829600000000001</v>
      </c>
      <c r="N10" s="1">
        <f>PRODUCT(Tabela_Belki_0[[#This Row],[Szt.]],Tabela_Belki_0[[#This Row],[Vj '[m3']]])</f>
        <v>5.829600000000001</v>
      </c>
      <c r="O10" s="1"/>
    </row>
    <row r="11" spans="2:15" x14ac:dyDescent="0.3">
      <c r="B11" t="s">
        <v>140</v>
      </c>
      <c r="C11" t="s">
        <v>169</v>
      </c>
      <c r="D11">
        <v>2</v>
      </c>
      <c r="E11" t="s">
        <v>325</v>
      </c>
      <c r="F11">
        <f>11.78</f>
        <v>11.78</v>
      </c>
      <c r="G11">
        <v>0.35</v>
      </c>
      <c r="H11" s="1">
        <v>0.8</v>
      </c>
      <c r="I11" s="1"/>
      <c r="J11" s="1">
        <f t="shared" si="0"/>
        <v>4.1229999999999993</v>
      </c>
      <c r="K11" s="1"/>
      <c r="L11" s="1">
        <f>Tabela_Belki_0[[#This Row],[hd]]+Tabela_Belki_0[[#This Row],[h '[m']]]</f>
        <v>0.8</v>
      </c>
      <c r="M11" s="1">
        <f>Tabela_Belki_0[[#This Row],[h '[m']]]*Tabela_Belki_0[[#This Row],[A '[m2']]]</f>
        <v>3.2983999999999996</v>
      </c>
      <c r="N11" s="1">
        <f>PRODUCT(Tabela_Belki_0[[#This Row],[Szt.]],Tabela_Belki_0[[#This Row],[Vj '[m3']]])</f>
        <v>6.5967999999999991</v>
      </c>
      <c r="O11" s="1"/>
    </row>
    <row r="12" spans="2:15" x14ac:dyDescent="0.3">
      <c r="B12" t="s">
        <v>140</v>
      </c>
      <c r="C12" t="s">
        <v>169</v>
      </c>
      <c r="D12">
        <v>2</v>
      </c>
      <c r="E12" t="s">
        <v>326</v>
      </c>
      <c r="F12">
        <f>4.42-0.35</f>
        <v>4.07</v>
      </c>
      <c r="G12">
        <v>0.6</v>
      </c>
      <c r="H12" s="1">
        <v>1.04</v>
      </c>
      <c r="I12" s="1"/>
      <c r="J12" s="1">
        <f t="shared" si="0"/>
        <v>2.4420000000000002</v>
      </c>
      <c r="K12" s="1"/>
      <c r="L12" s="1">
        <f>Tabela_Belki_0[[#This Row],[hd]]+Tabela_Belki_0[[#This Row],[h '[m']]]</f>
        <v>1.04</v>
      </c>
      <c r="M12" s="1">
        <f>Tabela_Belki_0[[#This Row],[h '[m']]]*Tabela_Belki_0[[#This Row],[A '[m2']]]</f>
        <v>2.5396800000000002</v>
      </c>
      <c r="N12" s="1">
        <f>PRODUCT(Tabela_Belki_0[[#This Row],[Szt.]],Tabela_Belki_0[[#This Row],[Vj '[m3']]])</f>
        <v>5.0793600000000003</v>
      </c>
      <c r="O12" s="1"/>
    </row>
    <row r="13" spans="2:15" x14ac:dyDescent="0.3">
      <c r="B13" t="s">
        <v>140</v>
      </c>
      <c r="C13" t="s">
        <v>169</v>
      </c>
      <c r="D13">
        <v>2</v>
      </c>
      <c r="E13" t="s">
        <v>327</v>
      </c>
      <c r="F13">
        <f>7.13-0.35</f>
        <v>6.78</v>
      </c>
      <c r="G13">
        <v>0.6</v>
      </c>
      <c r="H13" s="1">
        <v>0.65</v>
      </c>
      <c r="I13" s="1" t="s">
        <v>101</v>
      </c>
      <c r="J13" s="1">
        <f t="shared" si="0"/>
        <v>4.0679999999999996</v>
      </c>
      <c r="K13" s="1"/>
      <c r="L13" s="1">
        <f>Tabela_Belki_0[[#This Row],[hd]]+Tabela_Belki_0[[#This Row],[h '[m']]]</f>
        <v>0.65</v>
      </c>
      <c r="M13" s="1">
        <f>Tabela_Belki_0[[#This Row],[h '[m']]]*Tabela_Belki_0[[#This Row],[A '[m2']]]</f>
        <v>2.6441999999999997</v>
      </c>
      <c r="N13" s="1">
        <f>PRODUCT(Tabela_Belki_0[[#This Row],[Szt.]],Tabela_Belki_0[[#This Row],[Vj '[m3']]])</f>
        <v>5.2883999999999993</v>
      </c>
      <c r="O13" s="1"/>
    </row>
    <row r="14" spans="2:15" x14ac:dyDescent="0.3">
      <c r="B14" t="s">
        <v>140</v>
      </c>
      <c r="C14" t="s">
        <v>169</v>
      </c>
      <c r="D14">
        <v>2</v>
      </c>
      <c r="E14" t="s">
        <v>321</v>
      </c>
      <c r="F14">
        <v>5.85</v>
      </c>
      <c r="G14">
        <v>0.35</v>
      </c>
      <c r="H14" s="1">
        <v>0.8</v>
      </c>
      <c r="I14" s="1"/>
      <c r="J14" s="1">
        <f>PRODUCT(F14:G14)</f>
        <v>2.0474999999999999</v>
      </c>
      <c r="K14" s="1"/>
      <c r="L14" s="1">
        <f>Tabela_Belki_0[[#This Row],[hd]]+Tabela_Belki_0[[#This Row],[h '[m']]]</f>
        <v>0.8</v>
      </c>
      <c r="M14" s="1">
        <f>Tabela_Belki_0[[#This Row],[h '[m']]]*Tabela_Belki_0[[#This Row],[A '[m2']]]</f>
        <v>1.6379999999999999</v>
      </c>
      <c r="N14" s="1">
        <f>PRODUCT(Tabela_Belki_0[[#This Row],[Szt.]],Tabela_Belki_0[[#This Row],[Vj '[m3']]])</f>
        <v>3.2759999999999998</v>
      </c>
      <c r="O14" s="1"/>
    </row>
    <row r="15" spans="2:15" x14ac:dyDescent="0.3">
      <c r="B15" t="s">
        <v>140</v>
      </c>
      <c r="C15" t="s">
        <v>169</v>
      </c>
      <c r="D15">
        <v>1</v>
      </c>
      <c r="E15" t="s">
        <v>328</v>
      </c>
      <c r="F15">
        <f>5.505</f>
        <v>5.5049999999999999</v>
      </c>
      <c r="G15">
        <v>0.35</v>
      </c>
      <c r="H15" s="1">
        <v>0.8</v>
      </c>
      <c r="I15" s="1"/>
      <c r="J15" s="1">
        <f>PRODUCT(F15:G15)</f>
        <v>1.9267499999999997</v>
      </c>
      <c r="K15" s="1">
        <v>2.57</v>
      </c>
      <c r="L15" s="1">
        <f>Tabela_Belki_0[[#This Row],[hd]]+Tabela_Belki_0[[#This Row],[h '[m']]]</f>
        <v>3.37</v>
      </c>
      <c r="M15" s="1">
        <f>Tabela_Belki_0[[#This Row],[h '[m']]]*Tabela_Belki_0[[#This Row],[A '[m2']]]</f>
        <v>1.5413999999999999</v>
      </c>
      <c r="N15" s="1">
        <f>PRODUCT(Tabela_Belki_0[[#This Row],[Szt.]],Tabela_Belki_0[[#This Row],[Vj '[m3']]])</f>
        <v>1.5413999999999999</v>
      </c>
      <c r="O15" s="1"/>
    </row>
    <row r="16" spans="2:15" x14ac:dyDescent="0.3">
      <c r="B16" t="s">
        <v>140</v>
      </c>
      <c r="C16" t="s">
        <v>169</v>
      </c>
      <c r="D16">
        <v>1</v>
      </c>
      <c r="E16" t="s">
        <v>329</v>
      </c>
      <c r="F16">
        <f>5.9-0.35-0.18</f>
        <v>5.370000000000001</v>
      </c>
      <c r="G16">
        <v>0.6</v>
      </c>
      <c r="H16" s="1">
        <v>0.8</v>
      </c>
      <c r="I16" s="1"/>
      <c r="J16" s="1">
        <f>PRODUCT(F16:G16)</f>
        <v>3.2220000000000004</v>
      </c>
      <c r="K16" s="1">
        <v>2.57</v>
      </c>
      <c r="L16" s="1">
        <f>Tabela_Belki_0[[#This Row],[hd]]+Tabela_Belki_0[[#This Row],[h '[m']]]</f>
        <v>3.37</v>
      </c>
      <c r="M16" s="1">
        <f>Tabela_Belki_0[[#This Row],[h '[m']]]*Tabela_Belki_0[[#This Row],[A '[m2']]]</f>
        <v>2.5776000000000003</v>
      </c>
      <c r="N16" s="1">
        <f>PRODUCT(Tabela_Belki_0[[#This Row],[Szt.]],Tabela_Belki_0[[#This Row],[Vj '[m3']]])</f>
        <v>2.5776000000000003</v>
      </c>
      <c r="O16" s="1"/>
    </row>
    <row r="17" spans="2:15" x14ac:dyDescent="0.3">
      <c r="B17" t="s">
        <v>140</v>
      </c>
      <c r="C17" t="s">
        <v>169</v>
      </c>
      <c r="D17">
        <v>1</v>
      </c>
      <c r="E17" t="s">
        <v>102</v>
      </c>
      <c r="F17">
        <f>6.43-0.35-0.6-0.115</f>
        <v>5.3650000000000002</v>
      </c>
      <c r="G17">
        <v>0.35</v>
      </c>
      <c r="H17" s="1">
        <v>0.8</v>
      </c>
      <c r="I17" s="1"/>
      <c r="J17" s="1">
        <f>PRODUCT(F17:G17)</f>
        <v>1.87775</v>
      </c>
      <c r="K17" s="1">
        <v>2.57</v>
      </c>
      <c r="L17" s="1">
        <f>Tabela_Belki_0[[#This Row],[hd]]+Tabela_Belki_0[[#This Row],[h '[m']]]</f>
        <v>3.37</v>
      </c>
      <c r="M17" s="1">
        <f>Tabela_Belki_0[[#This Row],[h '[m']]]*Tabela_Belki_0[[#This Row],[A '[m2']]]</f>
        <v>1.5022000000000002</v>
      </c>
      <c r="N17" s="1">
        <f>PRODUCT(Tabela_Belki_0[[#This Row],[Szt.]],Tabela_Belki_0[[#This Row],[Vj '[m3']]])</f>
        <v>1.5022000000000002</v>
      </c>
      <c r="O17" s="1"/>
    </row>
    <row r="18" spans="2:15" x14ac:dyDescent="0.3">
      <c r="B18" t="s">
        <v>140</v>
      </c>
      <c r="C18" t="s">
        <v>169</v>
      </c>
      <c r="D18">
        <v>1</v>
      </c>
      <c r="E18" t="s">
        <v>103</v>
      </c>
      <c r="F18">
        <f>6.42-0.6</f>
        <v>5.82</v>
      </c>
      <c r="G18">
        <v>0.35</v>
      </c>
      <c r="H18" s="1">
        <v>0.8</v>
      </c>
      <c r="I18" s="1"/>
      <c r="J18" s="1">
        <f>PRODUCT(F18:G18)</f>
        <v>2.0369999999999999</v>
      </c>
      <c r="K18" s="1">
        <v>2.57</v>
      </c>
      <c r="L18" s="1">
        <f>Tabela_Belki_0[[#This Row],[hd]]+Tabela_Belki_0[[#This Row],[h '[m']]]</f>
        <v>3.37</v>
      </c>
      <c r="M18" s="1">
        <f>Tabela_Belki_0[[#This Row],[h '[m']]]*Tabela_Belki_0[[#This Row],[A '[m2']]]</f>
        <v>1.6295999999999999</v>
      </c>
      <c r="N18" s="1">
        <f>PRODUCT(Tabela_Belki_0[[#This Row],[Szt.]],Tabela_Belki_0[[#This Row],[Vj '[m3']]])</f>
        <v>1.6295999999999999</v>
      </c>
      <c r="O18" s="1"/>
    </row>
    <row r="19" spans="2:15" x14ac:dyDescent="0.3">
      <c r="B19" t="s">
        <v>140</v>
      </c>
      <c r="C19" t="s">
        <v>169</v>
      </c>
      <c r="D19">
        <v>1</v>
      </c>
      <c r="E19" t="s">
        <v>104</v>
      </c>
      <c r="F19">
        <f>5.025-0.35</f>
        <v>4.6750000000000007</v>
      </c>
      <c r="G19">
        <v>0.35</v>
      </c>
      <c r="H19" s="1">
        <v>0.8</v>
      </c>
      <c r="I19" s="1"/>
      <c r="J19" s="1">
        <f t="shared" ref="J19:J60" si="1">PRODUCT(F19:G19)</f>
        <v>1.6362500000000002</v>
      </c>
      <c r="K19" s="1">
        <v>2.57</v>
      </c>
      <c r="L19" s="1">
        <f>Tabela_Belki_0[[#This Row],[hd]]+Tabela_Belki_0[[#This Row],[h '[m']]]</f>
        <v>3.37</v>
      </c>
      <c r="M19" s="1">
        <f>Tabela_Belki_0[[#This Row],[h '[m']]]*Tabela_Belki_0[[#This Row],[A '[m2']]]</f>
        <v>1.3090000000000002</v>
      </c>
      <c r="N19" s="1">
        <f>PRODUCT(Tabela_Belki_0[[#This Row],[Szt.]],Tabela_Belki_0[[#This Row],[Vj '[m3']]])</f>
        <v>1.3090000000000002</v>
      </c>
      <c r="O19" s="1"/>
    </row>
    <row r="20" spans="2:15" x14ac:dyDescent="0.3">
      <c r="B20" t="s">
        <v>140</v>
      </c>
      <c r="C20" t="s">
        <v>169</v>
      </c>
      <c r="D20">
        <v>1</v>
      </c>
      <c r="E20" t="s">
        <v>105</v>
      </c>
      <c r="F20">
        <f>4.86-0.18-0.35</f>
        <v>4.330000000000001</v>
      </c>
      <c r="G20">
        <v>0.35</v>
      </c>
      <c r="H20" s="1">
        <v>0.8</v>
      </c>
      <c r="I20" s="1"/>
      <c r="J20" s="1">
        <f t="shared" si="1"/>
        <v>1.5155000000000003</v>
      </c>
      <c r="K20" s="1">
        <v>2.57</v>
      </c>
      <c r="L20" s="1">
        <f>Tabela_Belki_0[[#This Row],[hd]]+Tabela_Belki_0[[#This Row],[h '[m']]]</f>
        <v>3.37</v>
      </c>
      <c r="M20" s="1">
        <f>Tabela_Belki_0[[#This Row],[h '[m']]]*Tabela_Belki_0[[#This Row],[A '[m2']]]</f>
        <v>1.2124000000000004</v>
      </c>
      <c r="N20" s="1">
        <f>PRODUCT(Tabela_Belki_0[[#This Row],[Szt.]],Tabela_Belki_0[[#This Row],[Vj '[m3']]])</f>
        <v>1.2124000000000004</v>
      </c>
      <c r="O20" s="1"/>
    </row>
    <row r="21" spans="2:15" x14ac:dyDescent="0.3">
      <c r="B21" t="s">
        <v>140</v>
      </c>
      <c r="C21" t="s">
        <v>169</v>
      </c>
      <c r="D21">
        <v>1</v>
      </c>
      <c r="E21" t="s">
        <v>106</v>
      </c>
      <c r="F21">
        <f>8.9-0.6-0.6-0.35</f>
        <v>7.3500000000000014</v>
      </c>
      <c r="G21">
        <v>0.35</v>
      </c>
      <c r="H21" s="1">
        <v>0.8</v>
      </c>
      <c r="I21" s="1"/>
      <c r="J21" s="1">
        <f t="shared" si="1"/>
        <v>2.5725000000000002</v>
      </c>
      <c r="K21" s="1">
        <v>2.57</v>
      </c>
      <c r="L21" s="1">
        <f>Tabela_Belki_0[[#This Row],[hd]]+Tabela_Belki_0[[#This Row],[h '[m']]]</f>
        <v>3.37</v>
      </c>
      <c r="M21" s="1">
        <f>Tabela_Belki_0[[#This Row],[h '[m']]]*Tabela_Belki_0[[#This Row],[A '[m2']]]</f>
        <v>2.0580000000000003</v>
      </c>
      <c r="N21" s="1">
        <f>PRODUCT(Tabela_Belki_0[[#This Row],[Szt.]],Tabela_Belki_0[[#This Row],[Vj '[m3']]])</f>
        <v>2.0580000000000003</v>
      </c>
      <c r="O21" s="1"/>
    </row>
    <row r="22" spans="2:15" x14ac:dyDescent="0.3">
      <c r="B22" t="s">
        <v>140</v>
      </c>
      <c r="C22" t="s">
        <v>169</v>
      </c>
      <c r="D22">
        <v>1</v>
      </c>
      <c r="E22" t="s">
        <v>107</v>
      </c>
      <c r="F22">
        <f>4.86-0.35</f>
        <v>4.5100000000000007</v>
      </c>
      <c r="G22">
        <v>0.35</v>
      </c>
      <c r="H22" s="1">
        <v>0.8</v>
      </c>
      <c r="I22" s="1"/>
      <c r="J22" s="1">
        <f t="shared" si="1"/>
        <v>1.5785000000000002</v>
      </c>
      <c r="K22" s="1">
        <v>2.57</v>
      </c>
      <c r="L22" s="1">
        <f>Tabela_Belki_0[[#This Row],[hd]]+Tabela_Belki_0[[#This Row],[h '[m']]]</f>
        <v>3.37</v>
      </c>
      <c r="M22" s="1">
        <f>Tabela_Belki_0[[#This Row],[h '[m']]]*Tabela_Belki_0[[#This Row],[A '[m2']]]</f>
        <v>1.2628000000000004</v>
      </c>
      <c r="N22" s="1">
        <f>PRODUCT(Tabela_Belki_0[[#This Row],[Szt.]],Tabela_Belki_0[[#This Row],[Vj '[m3']]])</f>
        <v>1.2628000000000004</v>
      </c>
      <c r="O22" s="1"/>
    </row>
    <row r="23" spans="2:15" x14ac:dyDescent="0.3">
      <c r="B23" t="s">
        <v>140</v>
      </c>
      <c r="C23" t="s">
        <v>169</v>
      </c>
      <c r="D23">
        <v>1</v>
      </c>
      <c r="E23" t="s">
        <v>108</v>
      </c>
      <c r="F23">
        <f>3.38-0.6-0.6-0.18</f>
        <v>1.9999999999999998</v>
      </c>
      <c r="G23">
        <v>0.35</v>
      </c>
      <c r="H23" s="1">
        <v>0.5</v>
      </c>
      <c r="I23" s="1"/>
      <c r="J23" s="1">
        <f t="shared" si="1"/>
        <v>0.69999999999999984</v>
      </c>
      <c r="K23" s="1">
        <v>2.87</v>
      </c>
      <c r="L23" s="1">
        <f>Tabela_Belki_0[[#This Row],[hd]]+Tabela_Belki_0[[#This Row],[h '[m']]]</f>
        <v>3.37</v>
      </c>
      <c r="M23" s="1">
        <f>Tabela_Belki_0[[#This Row],[h '[m']]]*Tabela_Belki_0[[#This Row],[A '[m2']]]</f>
        <v>0.34999999999999992</v>
      </c>
      <c r="N23" s="1">
        <f>PRODUCT(Tabela_Belki_0[[#This Row],[Szt.]],Tabela_Belki_0[[#This Row],[Vj '[m3']]])</f>
        <v>0.34999999999999992</v>
      </c>
      <c r="O23" s="1"/>
    </row>
    <row r="24" spans="2:15" x14ac:dyDescent="0.3">
      <c r="B24" t="s">
        <v>140</v>
      </c>
      <c r="C24" t="s">
        <v>169</v>
      </c>
      <c r="D24">
        <v>1</v>
      </c>
      <c r="E24" t="s">
        <v>330</v>
      </c>
      <c r="F24">
        <f>6.44-0.6</f>
        <v>5.8400000000000007</v>
      </c>
      <c r="G24">
        <v>0.35</v>
      </c>
      <c r="H24" s="1">
        <v>0.65</v>
      </c>
      <c r="I24" s="1"/>
      <c r="J24" s="1">
        <f t="shared" si="1"/>
        <v>2.044</v>
      </c>
      <c r="K24" s="1">
        <v>2.33</v>
      </c>
      <c r="L24" s="1">
        <f>Tabela_Belki_0[[#This Row],[hd]]+Tabela_Belki_0[[#This Row],[h '[m']]]</f>
        <v>2.98</v>
      </c>
      <c r="M24" s="1">
        <f>Tabela_Belki_0[[#This Row],[h '[m']]]*Tabela_Belki_0[[#This Row],[A '[m2']]]</f>
        <v>1.3286</v>
      </c>
      <c r="N24" s="1">
        <f>PRODUCT(Tabela_Belki_0[[#This Row],[Szt.]],Tabela_Belki_0[[#This Row],[Vj '[m3']]])</f>
        <v>1.3286</v>
      </c>
      <c r="O24" s="1"/>
    </row>
    <row r="25" spans="2:15" x14ac:dyDescent="0.3">
      <c r="B25" t="s">
        <v>140</v>
      </c>
      <c r="C25" t="s">
        <v>169</v>
      </c>
      <c r="D25">
        <v>1</v>
      </c>
      <c r="E25" t="s">
        <v>331</v>
      </c>
      <c r="F25">
        <v>4.4800000000000004</v>
      </c>
      <c r="G25">
        <v>0.35</v>
      </c>
      <c r="H25" s="1">
        <v>1.04</v>
      </c>
      <c r="I25" s="1"/>
      <c r="J25" s="1">
        <f t="shared" ref="J25:J30" si="2">PRODUCT(F25:G25)</f>
        <v>1.5680000000000001</v>
      </c>
      <c r="K25" s="1">
        <v>2.33</v>
      </c>
      <c r="L25" s="1">
        <f>Tabela_Belki_0[[#This Row],[hd]]+Tabela_Belki_0[[#This Row],[h '[m']]]</f>
        <v>3.37</v>
      </c>
      <c r="M25" s="1">
        <f>Tabela_Belki_0[[#This Row],[h '[m']]]*Tabela_Belki_0[[#This Row],[A '[m2']]]</f>
        <v>1.6307200000000002</v>
      </c>
      <c r="N25" s="1">
        <f>PRODUCT(Tabela_Belki_0[[#This Row],[Szt.]],Tabela_Belki_0[[#This Row],[Vj '[m3']]])</f>
        <v>1.6307200000000002</v>
      </c>
      <c r="O25" s="1"/>
    </row>
    <row r="26" spans="2:15" x14ac:dyDescent="0.3">
      <c r="B26" t="s">
        <v>140</v>
      </c>
      <c r="C26" t="s">
        <v>169</v>
      </c>
      <c r="D26">
        <v>1</v>
      </c>
      <c r="E26" t="s">
        <v>332</v>
      </c>
      <c r="F26">
        <v>1.54</v>
      </c>
      <c r="G26">
        <v>0.35</v>
      </c>
      <c r="H26" s="1">
        <v>0.5</v>
      </c>
      <c r="I26" s="1"/>
      <c r="J26" s="1">
        <f t="shared" si="2"/>
        <v>0.53899999999999992</v>
      </c>
      <c r="K26" s="1">
        <v>2.87</v>
      </c>
      <c r="L26" s="1">
        <f>Tabela_Belki_0[[#This Row],[hd]]+Tabela_Belki_0[[#This Row],[h '[m']]]</f>
        <v>3.37</v>
      </c>
      <c r="M26" s="1">
        <f>Tabela_Belki_0[[#This Row],[h '[m']]]*Tabela_Belki_0[[#This Row],[A '[m2']]]</f>
        <v>0.26949999999999996</v>
      </c>
      <c r="N26" s="1">
        <f>PRODUCT(Tabela_Belki_0[[#This Row],[Szt.]],Tabela_Belki_0[[#This Row],[Vj '[m3']]])</f>
        <v>0.26949999999999996</v>
      </c>
      <c r="O26" s="1"/>
    </row>
    <row r="27" spans="2:15" x14ac:dyDescent="0.3">
      <c r="B27" t="s">
        <v>140</v>
      </c>
      <c r="C27" t="s">
        <v>169</v>
      </c>
      <c r="D27">
        <v>1</v>
      </c>
      <c r="E27" t="s">
        <v>333</v>
      </c>
      <c r="F27">
        <f>3.38-0.18</f>
        <v>3.1999999999999997</v>
      </c>
      <c r="G27">
        <v>0.35</v>
      </c>
      <c r="H27" s="1">
        <v>0.8</v>
      </c>
      <c r="I27" s="1"/>
      <c r="J27" s="1">
        <f t="shared" si="2"/>
        <v>1.1199999999999999</v>
      </c>
      <c r="K27" s="1">
        <v>2.57</v>
      </c>
      <c r="L27" s="1">
        <f>Tabela_Belki_0[[#This Row],[hd]]+Tabela_Belki_0[[#This Row],[h '[m']]]</f>
        <v>3.37</v>
      </c>
      <c r="M27" s="1">
        <f>Tabela_Belki_0[[#This Row],[h '[m']]]*Tabela_Belki_0[[#This Row],[A '[m2']]]</f>
        <v>0.89599999999999991</v>
      </c>
      <c r="N27" s="1">
        <f>PRODUCT(Tabela_Belki_0[[#This Row],[Szt.]],Tabela_Belki_0[[#This Row],[Vj '[m3']]])</f>
        <v>0.89599999999999991</v>
      </c>
      <c r="O27" s="1"/>
    </row>
    <row r="28" spans="2:15" x14ac:dyDescent="0.3">
      <c r="B28" t="s">
        <v>140</v>
      </c>
      <c r="C28" t="s">
        <v>169</v>
      </c>
      <c r="D28">
        <v>1</v>
      </c>
      <c r="E28" t="s">
        <v>334</v>
      </c>
      <c r="F28">
        <f>6.44-0.18-0.6</f>
        <v>5.660000000000001</v>
      </c>
      <c r="G28">
        <v>0.35</v>
      </c>
      <c r="H28" s="1">
        <v>0.65</v>
      </c>
      <c r="I28" s="1"/>
      <c r="J28" s="1">
        <f t="shared" si="2"/>
        <v>1.9810000000000003</v>
      </c>
      <c r="K28" s="1">
        <v>2.33</v>
      </c>
      <c r="L28" s="1">
        <f>Tabela_Belki_0[[#This Row],[hd]]+Tabela_Belki_0[[#This Row],[h '[m']]]</f>
        <v>2.98</v>
      </c>
      <c r="M28" s="1">
        <f>Tabela_Belki_0[[#This Row],[h '[m']]]*Tabela_Belki_0[[#This Row],[A '[m2']]]</f>
        <v>1.2876500000000002</v>
      </c>
      <c r="N28" s="1">
        <f>PRODUCT(Tabela_Belki_0[[#This Row],[Szt.]],Tabela_Belki_0[[#This Row],[Vj '[m3']]])</f>
        <v>1.2876500000000002</v>
      </c>
      <c r="O28" s="1"/>
    </row>
    <row r="29" spans="2:15" x14ac:dyDescent="0.3">
      <c r="B29" t="s">
        <v>140</v>
      </c>
      <c r="C29" t="s">
        <v>169</v>
      </c>
      <c r="D29">
        <v>1</v>
      </c>
      <c r="E29" t="s">
        <v>335</v>
      </c>
      <c r="F29">
        <v>4.4800000000000004</v>
      </c>
      <c r="G29">
        <v>0.35</v>
      </c>
      <c r="H29" s="1">
        <v>1.04</v>
      </c>
      <c r="I29" s="1"/>
      <c r="J29" s="1">
        <f t="shared" si="2"/>
        <v>1.5680000000000001</v>
      </c>
      <c r="K29" s="1">
        <v>2.33</v>
      </c>
      <c r="L29" s="1">
        <f>Tabela_Belki_0[[#This Row],[hd]]+Tabela_Belki_0[[#This Row],[h '[m']]]</f>
        <v>3.37</v>
      </c>
      <c r="M29" s="1">
        <f>Tabela_Belki_0[[#This Row],[h '[m']]]*Tabela_Belki_0[[#This Row],[A '[m2']]]</f>
        <v>1.6307200000000002</v>
      </c>
      <c r="N29" s="1">
        <f>PRODUCT(Tabela_Belki_0[[#This Row],[Szt.]],Tabela_Belki_0[[#This Row],[Vj '[m3']]])</f>
        <v>1.6307200000000002</v>
      </c>
      <c r="O29" s="1"/>
    </row>
    <row r="30" spans="2:15" x14ac:dyDescent="0.3">
      <c r="B30" t="s">
        <v>140</v>
      </c>
      <c r="C30" t="s">
        <v>169</v>
      </c>
      <c r="D30">
        <v>1</v>
      </c>
      <c r="E30" t="s">
        <v>336</v>
      </c>
      <c r="F30">
        <v>1.54</v>
      </c>
      <c r="G30">
        <v>0.35</v>
      </c>
      <c r="H30" s="1">
        <v>0.5</v>
      </c>
      <c r="I30" s="1"/>
      <c r="J30" s="1">
        <f t="shared" si="2"/>
        <v>0.53899999999999992</v>
      </c>
      <c r="K30" s="1">
        <v>2.87</v>
      </c>
      <c r="L30" s="1">
        <f>Tabela_Belki_0[[#This Row],[hd]]+Tabela_Belki_0[[#This Row],[h '[m']]]</f>
        <v>3.37</v>
      </c>
      <c r="M30" s="1">
        <f>Tabela_Belki_0[[#This Row],[h '[m']]]*Tabela_Belki_0[[#This Row],[A '[m2']]]</f>
        <v>0.26949999999999996</v>
      </c>
      <c r="N30" s="1">
        <f>PRODUCT(Tabela_Belki_0[[#This Row],[Szt.]],Tabela_Belki_0[[#This Row],[Vj '[m3']]])</f>
        <v>0.26949999999999996</v>
      </c>
      <c r="O30" s="1"/>
    </row>
    <row r="31" spans="2:15" x14ac:dyDescent="0.3">
      <c r="B31" t="s">
        <v>140</v>
      </c>
      <c r="C31" t="s">
        <v>169</v>
      </c>
      <c r="D31">
        <v>1</v>
      </c>
      <c r="E31" t="s">
        <v>337</v>
      </c>
      <c r="F31">
        <f>3.45-0.6</f>
        <v>2.85</v>
      </c>
      <c r="G31">
        <v>0.35</v>
      </c>
      <c r="H31" s="1">
        <v>0.8</v>
      </c>
      <c r="I31" s="1"/>
      <c r="J31" s="1">
        <f t="shared" si="1"/>
        <v>0.99749999999999994</v>
      </c>
      <c r="K31" s="1">
        <v>2.57</v>
      </c>
      <c r="L31" s="1">
        <f>Tabela_Belki_0[[#This Row],[hd]]+Tabela_Belki_0[[#This Row],[h '[m']]]</f>
        <v>3.37</v>
      </c>
      <c r="M31" s="1">
        <f>Tabela_Belki_0[[#This Row],[h '[m']]]*Tabela_Belki_0[[#This Row],[A '[m2']]]</f>
        <v>0.79800000000000004</v>
      </c>
      <c r="N31" s="1">
        <f>PRODUCT(Tabela_Belki_0[[#This Row],[Szt.]],Tabela_Belki_0[[#This Row],[Vj '[m3']]])</f>
        <v>0.79800000000000004</v>
      </c>
      <c r="O31" s="1"/>
    </row>
    <row r="32" spans="2:15" x14ac:dyDescent="0.3">
      <c r="B32" t="s">
        <v>140</v>
      </c>
      <c r="C32" t="s">
        <v>169</v>
      </c>
      <c r="D32">
        <v>1</v>
      </c>
      <c r="E32" t="s">
        <v>109</v>
      </c>
      <c r="F32">
        <f>5.8-0.35</f>
        <v>5.45</v>
      </c>
      <c r="G32">
        <v>0.35</v>
      </c>
      <c r="H32" s="1">
        <v>0.8</v>
      </c>
      <c r="I32" s="1"/>
      <c r="J32" s="1">
        <f t="shared" si="1"/>
        <v>1.9075</v>
      </c>
      <c r="K32" s="1">
        <v>2.57</v>
      </c>
      <c r="L32" s="1">
        <f>Tabela_Belki_0[[#This Row],[hd]]+Tabela_Belki_0[[#This Row],[h '[m']]]</f>
        <v>3.37</v>
      </c>
      <c r="M32" s="1">
        <f>Tabela_Belki_0[[#This Row],[h '[m']]]*Tabela_Belki_0[[#This Row],[A '[m2']]]</f>
        <v>1.526</v>
      </c>
      <c r="N32" s="1">
        <f>PRODUCT(Tabela_Belki_0[[#This Row],[Szt.]],Tabela_Belki_0[[#This Row],[Vj '[m3']]])</f>
        <v>1.526</v>
      </c>
      <c r="O32" s="1"/>
    </row>
    <row r="33" spans="2:15" x14ac:dyDescent="0.3">
      <c r="B33" t="s">
        <v>140</v>
      </c>
      <c r="C33" t="s">
        <v>169</v>
      </c>
      <c r="D33">
        <v>1</v>
      </c>
      <c r="E33" t="s">
        <v>338</v>
      </c>
      <c r="F33">
        <f>3.7-0.18</f>
        <v>3.52</v>
      </c>
      <c r="G33">
        <v>0.35</v>
      </c>
      <c r="H33" s="1">
        <v>0.65</v>
      </c>
      <c r="I33" s="1"/>
      <c r="J33" s="1">
        <f t="shared" si="1"/>
        <v>1.232</v>
      </c>
      <c r="K33" s="1">
        <v>2.33</v>
      </c>
      <c r="L33" s="1">
        <f>Tabela_Belki_0[[#This Row],[hd]]+Tabela_Belki_0[[#This Row],[h '[m']]]</f>
        <v>2.98</v>
      </c>
      <c r="M33" s="1">
        <f>Tabela_Belki_0[[#This Row],[h '[m']]]*Tabela_Belki_0[[#This Row],[A '[m2']]]</f>
        <v>0.80080000000000007</v>
      </c>
      <c r="N33" s="1">
        <f>PRODUCT(Tabela_Belki_0[[#This Row],[Szt.]],Tabela_Belki_0[[#This Row],[Vj '[m3']]])</f>
        <v>0.80080000000000007</v>
      </c>
      <c r="O33" s="1"/>
    </row>
    <row r="34" spans="2:15" x14ac:dyDescent="0.3">
      <c r="B34" t="s">
        <v>140</v>
      </c>
      <c r="C34" t="s">
        <v>169</v>
      </c>
      <c r="D34">
        <v>1</v>
      </c>
      <c r="E34" t="s">
        <v>339</v>
      </c>
      <c r="F34">
        <v>0.35</v>
      </c>
      <c r="G34">
        <v>0.35</v>
      </c>
      <c r="H34" s="1">
        <v>1.04</v>
      </c>
      <c r="I34" s="1"/>
      <c r="J34" s="1">
        <f t="shared" ref="J34:J36" si="3">PRODUCT(F34:G34)</f>
        <v>0.12249999999999998</v>
      </c>
      <c r="K34" s="1">
        <v>2.33</v>
      </c>
      <c r="L34" s="1">
        <f>Tabela_Belki_0[[#This Row],[hd]]+Tabela_Belki_0[[#This Row],[h '[m']]]</f>
        <v>3.37</v>
      </c>
      <c r="M34" s="1">
        <f>Tabela_Belki_0[[#This Row],[h '[m']]]*Tabela_Belki_0[[#This Row],[A '[m2']]]</f>
        <v>0.12739999999999999</v>
      </c>
      <c r="N34" s="1">
        <f>PRODUCT(Tabela_Belki_0[[#This Row],[Szt.]],Tabela_Belki_0[[#This Row],[Vj '[m3']]])</f>
        <v>0.12739999999999999</v>
      </c>
      <c r="O34" s="1"/>
    </row>
    <row r="35" spans="2:15" x14ac:dyDescent="0.3">
      <c r="B35" t="s">
        <v>140</v>
      </c>
      <c r="C35" t="s">
        <v>169</v>
      </c>
      <c r="D35">
        <v>1</v>
      </c>
      <c r="E35" t="s">
        <v>340</v>
      </c>
      <c r="F35">
        <f>6.87-0.6-0.6</f>
        <v>5.6700000000000008</v>
      </c>
      <c r="G35">
        <v>0.35</v>
      </c>
      <c r="H35" s="1">
        <v>0.8</v>
      </c>
      <c r="I35" s="1"/>
      <c r="J35" s="1">
        <f t="shared" si="3"/>
        <v>1.9845000000000002</v>
      </c>
      <c r="K35" s="1">
        <v>2.57</v>
      </c>
      <c r="L35" s="1">
        <f>Tabela_Belki_0[[#This Row],[hd]]+Tabela_Belki_0[[#This Row],[h '[m']]]</f>
        <v>3.37</v>
      </c>
      <c r="M35" s="1">
        <f>Tabela_Belki_0[[#This Row],[h '[m']]]*Tabela_Belki_0[[#This Row],[A '[m2']]]</f>
        <v>1.5876000000000001</v>
      </c>
      <c r="N35" s="1">
        <f>PRODUCT(Tabela_Belki_0[[#This Row],[Szt.]],Tabela_Belki_0[[#This Row],[Vj '[m3']]])</f>
        <v>1.5876000000000001</v>
      </c>
      <c r="O35" s="1"/>
    </row>
    <row r="36" spans="2:15" x14ac:dyDescent="0.3">
      <c r="B36" t="s">
        <v>140</v>
      </c>
      <c r="C36" t="s">
        <v>169</v>
      </c>
      <c r="D36">
        <v>1</v>
      </c>
      <c r="E36" t="s">
        <v>341</v>
      </c>
      <c r="F36">
        <v>1.54</v>
      </c>
      <c r="G36">
        <v>0.35</v>
      </c>
      <c r="H36" s="1">
        <v>0.5</v>
      </c>
      <c r="I36" s="1"/>
      <c r="J36" s="1">
        <f t="shared" si="3"/>
        <v>0.53899999999999992</v>
      </c>
      <c r="K36" s="1">
        <v>2.87</v>
      </c>
      <c r="L36" s="1">
        <f>Tabela_Belki_0[[#This Row],[hd]]+Tabela_Belki_0[[#This Row],[h '[m']]]</f>
        <v>3.37</v>
      </c>
      <c r="M36" s="1">
        <f>Tabela_Belki_0[[#This Row],[h '[m']]]*Tabela_Belki_0[[#This Row],[A '[m2']]]</f>
        <v>0.26949999999999996</v>
      </c>
      <c r="N36" s="1">
        <f>PRODUCT(Tabela_Belki_0[[#This Row],[Szt.]],Tabela_Belki_0[[#This Row],[Vj '[m3']]])</f>
        <v>0.26949999999999996</v>
      </c>
      <c r="O36" s="1"/>
    </row>
    <row r="37" spans="2:15" x14ac:dyDescent="0.3">
      <c r="B37" t="s">
        <v>140</v>
      </c>
      <c r="C37" t="s">
        <v>169</v>
      </c>
      <c r="D37">
        <v>1</v>
      </c>
      <c r="E37" t="s">
        <v>342</v>
      </c>
      <c r="F37">
        <f>8.89-0.6-0.35</f>
        <v>7.9400000000000013</v>
      </c>
      <c r="G37">
        <v>0.35</v>
      </c>
      <c r="H37" s="1">
        <v>0.8</v>
      </c>
      <c r="I37" s="1"/>
      <c r="J37" s="1">
        <f t="shared" ref="J37" si="4">PRODUCT(F37:G37)</f>
        <v>2.7790000000000004</v>
      </c>
      <c r="K37" s="1">
        <v>2.57</v>
      </c>
      <c r="L37" s="1">
        <f>Tabela_Belki_0[[#This Row],[hd]]+Tabela_Belki_0[[#This Row],[h '[m']]]</f>
        <v>3.37</v>
      </c>
      <c r="M37" s="1">
        <f>Tabela_Belki_0[[#This Row],[h '[m']]]*Tabela_Belki_0[[#This Row],[A '[m2']]]</f>
        <v>2.2232000000000003</v>
      </c>
      <c r="N37" s="1">
        <f>PRODUCT(Tabela_Belki_0[[#This Row],[Szt.]],Tabela_Belki_0[[#This Row],[Vj '[m3']]])</f>
        <v>2.2232000000000003</v>
      </c>
      <c r="O37" s="1"/>
    </row>
    <row r="38" spans="2:15" x14ac:dyDescent="0.3">
      <c r="B38" t="s">
        <v>140</v>
      </c>
      <c r="C38" t="s">
        <v>169</v>
      </c>
      <c r="D38">
        <v>1</v>
      </c>
      <c r="E38" t="s">
        <v>110</v>
      </c>
      <c r="F38">
        <f>5.8-0.35</f>
        <v>5.45</v>
      </c>
      <c r="G38">
        <v>0.35</v>
      </c>
      <c r="H38" s="1">
        <v>0.8</v>
      </c>
      <c r="I38" s="1"/>
      <c r="J38" s="1">
        <f t="shared" si="1"/>
        <v>1.9075</v>
      </c>
      <c r="K38" s="1">
        <v>2.57</v>
      </c>
      <c r="L38" s="1">
        <f>Tabela_Belki_0[[#This Row],[hd]]+Tabela_Belki_0[[#This Row],[h '[m']]]</f>
        <v>3.37</v>
      </c>
      <c r="M38" s="1">
        <f>Tabela_Belki_0[[#This Row],[h '[m']]]*Tabela_Belki_0[[#This Row],[A '[m2']]]</f>
        <v>1.526</v>
      </c>
      <c r="N38" s="1">
        <f>PRODUCT(Tabela_Belki_0[[#This Row],[Szt.]],Tabela_Belki_0[[#This Row],[Vj '[m3']]])</f>
        <v>1.526</v>
      </c>
      <c r="O38" s="1"/>
    </row>
    <row r="39" spans="2:15" x14ac:dyDescent="0.3">
      <c r="B39" t="s">
        <v>140</v>
      </c>
      <c r="C39" t="s">
        <v>169</v>
      </c>
      <c r="D39">
        <v>1</v>
      </c>
      <c r="E39" t="s">
        <v>111</v>
      </c>
      <c r="F39">
        <v>5.875</v>
      </c>
      <c r="G39">
        <v>0.35</v>
      </c>
      <c r="H39" s="1">
        <v>0.97</v>
      </c>
      <c r="I39" s="1"/>
      <c r="J39" s="1">
        <f t="shared" si="1"/>
        <v>2.0562499999999999</v>
      </c>
      <c r="K39" s="1">
        <v>2.4</v>
      </c>
      <c r="L39" s="1">
        <f>Tabela_Belki_0[[#This Row],[hd]]+Tabela_Belki_0[[#This Row],[h '[m']]]</f>
        <v>3.37</v>
      </c>
      <c r="M39" s="1">
        <f>Tabela_Belki_0[[#This Row],[h '[m']]]*Tabela_Belki_0[[#This Row],[A '[m2']]]</f>
        <v>1.9945624999999998</v>
      </c>
      <c r="N39" s="1">
        <f>PRODUCT(Tabela_Belki_0[[#This Row],[Szt.]],Tabela_Belki_0[[#This Row],[Vj '[m3']]])</f>
        <v>1.9945624999999998</v>
      </c>
      <c r="O39" s="1"/>
    </row>
    <row r="40" spans="2:15" x14ac:dyDescent="0.3">
      <c r="B40" t="s">
        <v>140</v>
      </c>
      <c r="C40" t="s">
        <v>169</v>
      </c>
      <c r="D40">
        <v>1</v>
      </c>
      <c r="E40" t="s">
        <v>112</v>
      </c>
      <c r="F40">
        <f>14.6-0.35-0.4-0.35-0.35</f>
        <v>13.15</v>
      </c>
      <c r="G40">
        <v>0.35</v>
      </c>
      <c r="H40" s="1">
        <v>0.8</v>
      </c>
      <c r="I40" s="1"/>
      <c r="J40" s="1">
        <f t="shared" si="1"/>
        <v>4.6025</v>
      </c>
      <c r="K40" s="1">
        <v>2.57</v>
      </c>
      <c r="L40" s="1">
        <f>Tabela_Belki_0[[#This Row],[hd]]+Tabela_Belki_0[[#This Row],[h '[m']]]</f>
        <v>3.37</v>
      </c>
      <c r="M40" s="1">
        <f>Tabela_Belki_0[[#This Row],[h '[m']]]*Tabela_Belki_0[[#This Row],[A '[m2']]]</f>
        <v>3.6820000000000004</v>
      </c>
      <c r="N40" s="1">
        <f>PRODUCT(Tabela_Belki_0[[#This Row],[Szt.]],Tabela_Belki_0[[#This Row],[Vj '[m3']]])</f>
        <v>3.6820000000000004</v>
      </c>
      <c r="O40" s="1"/>
    </row>
    <row r="41" spans="2:15" x14ac:dyDescent="0.3">
      <c r="B41" t="s">
        <v>140</v>
      </c>
      <c r="C41" t="s">
        <v>169</v>
      </c>
      <c r="D41">
        <v>1</v>
      </c>
      <c r="E41" t="s">
        <v>113</v>
      </c>
      <c r="F41">
        <f>10.475-0.18</f>
        <v>10.295</v>
      </c>
      <c r="G41">
        <v>0.35</v>
      </c>
      <c r="H41" s="1">
        <v>0.97</v>
      </c>
      <c r="I41" s="1"/>
      <c r="J41" s="1">
        <f t="shared" si="1"/>
        <v>3.6032499999999996</v>
      </c>
      <c r="K41" s="1">
        <v>2.4</v>
      </c>
      <c r="L41" s="1">
        <f>Tabela_Belki_0[[#This Row],[hd]]+Tabela_Belki_0[[#This Row],[h '[m']]]</f>
        <v>3.37</v>
      </c>
      <c r="M41" s="1">
        <f>Tabela_Belki_0[[#This Row],[h '[m']]]*Tabela_Belki_0[[#This Row],[A '[m2']]]</f>
        <v>3.4951524999999997</v>
      </c>
      <c r="N41" s="1">
        <f>PRODUCT(Tabela_Belki_0[[#This Row],[Szt.]],Tabela_Belki_0[[#This Row],[Vj '[m3']]])</f>
        <v>3.4951524999999997</v>
      </c>
      <c r="O41" s="1"/>
    </row>
    <row r="42" spans="2:15" x14ac:dyDescent="0.3">
      <c r="B42" t="s">
        <v>140</v>
      </c>
      <c r="C42" t="s">
        <v>169</v>
      </c>
      <c r="D42">
        <v>1</v>
      </c>
      <c r="E42" t="s">
        <v>362</v>
      </c>
      <c r="F42">
        <v>3.585</v>
      </c>
      <c r="G42">
        <v>0.6</v>
      </c>
      <c r="H42" s="1">
        <v>1.04</v>
      </c>
      <c r="I42" s="1"/>
      <c r="J42" s="1">
        <f t="shared" si="1"/>
        <v>2.1509999999999998</v>
      </c>
      <c r="K42" s="1">
        <v>2.33</v>
      </c>
      <c r="L42" s="1">
        <f>Tabela_Belki_0[[#This Row],[hd]]+Tabela_Belki_0[[#This Row],[h '[m']]]</f>
        <v>3.37</v>
      </c>
      <c r="M42" s="1">
        <f>Tabela_Belki_0[[#This Row],[h '[m']]]*Tabela_Belki_0[[#This Row],[A '[m2']]]</f>
        <v>2.2370399999999999</v>
      </c>
      <c r="N42" s="1">
        <f>PRODUCT(Tabela_Belki_0[[#This Row],[Szt.]],Tabela_Belki_0[[#This Row],[Vj '[m3']]])</f>
        <v>2.2370399999999999</v>
      </c>
      <c r="O42" s="1"/>
    </row>
    <row r="43" spans="2:15" x14ac:dyDescent="0.3">
      <c r="B43" t="s">
        <v>140</v>
      </c>
      <c r="C43" t="s">
        <v>169</v>
      </c>
      <c r="D43">
        <v>1</v>
      </c>
      <c r="E43" t="s">
        <v>363</v>
      </c>
      <c r="F43">
        <v>7.39</v>
      </c>
      <c r="G43">
        <v>0.6</v>
      </c>
      <c r="H43" s="1">
        <v>0.8</v>
      </c>
      <c r="I43" s="1"/>
      <c r="J43" s="1">
        <f t="shared" si="1"/>
        <v>4.4339999999999993</v>
      </c>
      <c r="K43" s="1">
        <v>2.57</v>
      </c>
      <c r="L43" s="1">
        <f>Tabela_Belki_0[[#This Row],[hd]]+Tabela_Belki_0[[#This Row],[h '[m']]]</f>
        <v>3.37</v>
      </c>
      <c r="M43" s="1">
        <f>Tabela_Belki_0[[#This Row],[h '[m']]]*Tabela_Belki_0[[#This Row],[A '[m2']]]</f>
        <v>3.5471999999999997</v>
      </c>
      <c r="N43" s="1">
        <f>PRODUCT(Tabela_Belki_0[[#This Row],[Szt.]],Tabela_Belki_0[[#This Row],[Vj '[m3']]])</f>
        <v>3.5471999999999997</v>
      </c>
      <c r="O43" s="1"/>
    </row>
    <row r="44" spans="2:15" x14ac:dyDescent="0.3">
      <c r="B44" t="s">
        <v>140</v>
      </c>
      <c r="C44" t="s">
        <v>169</v>
      </c>
      <c r="D44">
        <v>1</v>
      </c>
      <c r="E44" t="s">
        <v>97</v>
      </c>
      <c r="F44">
        <f>6.38-0.35</f>
        <v>6.03</v>
      </c>
      <c r="G44">
        <v>0.6</v>
      </c>
      <c r="H44" s="1">
        <v>0.8</v>
      </c>
      <c r="I44" s="1"/>
      <c r="J44" s="1">
        <f t="shared" si="1"/>
        <v>3.6179999999999999</v>
      </c>
      <c r="K44" s="1"/>
      <c r="L44" s="1">
        <f>Tabela_Belki_0[[#This Row],[hd]]+Tabela_Belki_0[[#This Row],[h '[m']]]</f>
        <v>0.8</v>
      </c>
      <c r="M44" s="1">
        <f>Tabela_Belki_0[[#This Row],[h '[m']]]*Tabela_Belki_0[[#This Row],[A '[m2']]]</f>
        <v>2.8944000000000001</v>
      </c>
      <c r="N44" s="1">
        <f>PRODUCT(Tabela_Belki_0[[#This Row],[Szt.]],Tabela_Belki_0[[#This Row],[Vj '[m3']]])</f>
        <v>2.8944000000000001</v>
      </c>
      <c r="O44" s="1"/>
    </row>
    <row r="45" spans="2:15" x14ac:dyDescent="0.3">
      <c r="B45" t="s">
        <v>140</v>
      </c>
      <c r="C45" t="s">
        <v>169</v>
      </c>
      <c r="D45">
        <v>1</v>
      </c>
      <c r="E45" t="s">
        <v>114</v>
      </c>
      <c r="F45">
        <f>6.255-0.35</f>
        <v>5.9050000000000002</v>
      </c>
      <c r="G45">
        <v>0.6</v>
      </c>
      <c r="H45" s="1">
        <v>0.8</v>
      </c>
      <c r="I45" s="1"/>
      <c r="J45" s="1">
        <f t="shared" si="1"/>
        <v>3.5430000000000001</v>
      </c>
      <c r="K45" s="1">
        <v>2.57</v>
      </c>
      <c r="L45" s="1">
        <f>Tabela_Belki_0[[#This Row],[hd]]+Tabela_Belki_0[[#This Row],[h '[m']]]</f>
        <v>3.37</v>
      </c>
      <c r="M45" s="1">
        <f>Tabela_Belki_0[[#This Row],[h '[m']]]*Tabela_Belki_0[[#This Row],[A '[m2']]]</f>
        <v>2.8344000000000005</v>
      </c>
      <c r="N45" s="1">
        <f>PRODUCT(Tabela_Belki_0[[#This Row],[Szt.]],Tabela_Belki_0[[#This Row],[Vj '[m3']]])</f>
        <v>2.8344000000000005</v>
      </c>
      <c r="O45" s="1"/>
    </row>
    <row r="46" spans="2:15" x14ac:dyDescent="0.3">
      <c r="B46" t="s">
        <v>140</v>
      </c>
      <c r="C46" t="s">
        <v>169</v>
      </c>
      <c r="D46">
        <v>1</v>
      </c>
      <c r="E46" t="s">
        <v>96</v>
      </c>
      <c r="F46">
        <v>6.42</v>
      </c>
      <c r="G46">
        <v>0.6</v>
      </c>
      <c r="H46" s="1">
        <v>0.8</v>
      </c>
      <c r="I46" s="1"/>
      <c r="J46" s="1">
        <f t="shared" si="1"/>
        <v>3.8519999999999999</v>
      </c>
      <c r="K46" s="1">
        <v>2.57</v>
      </c>
      <c r="L46" s="1">
        <f>Tabela_Belki_0[[#This Row],[hd]]+Tabela_Belki_0[[#This Row],[h '[m']]]</f>
        <v>3.37</v>
      </c>
      <c r="M46" s="1">
        <f>Tabela_Belki_0[[#This Row],[h '[m']]]*Tabela_Belki_0[[#This Row],[A '[m2']]]</f>
        <v>3.0815999999999999</v>
      </c>
      <c r="N46" s="1">
        <f>PRODUCT(Tabela_Belki_0[[#This Row],[Szt.]],Tabela_Belki_0[[#This Row],[Vj '[m3']]])</f>
        <v>3.0815999999999999</v>
      </c>
      <c r="O46" s="1"/>
    </row>
    <row r="47" spans="2:15" x14ac:dyDescent="0.3">
      <c r="B47" t="s">
        <v>140</v>
      </c>
      <c r="C47" t="s">
        <v>169</v>
      </c>
      <c r="D47">
        <v>1</v>
      </c>
      <c r="E47" t="s">
        <v>115</v>
      </c>
      <c r="F47">
        <f>11.825-0.35-0.35-0.35-0.35</f>
        <v>10.425000000000001</v>
      </c>
      <c r="G47">
        <v>0.35</v>
      </c>
      <c r="H47" s="1">
        <v>0.8</v>
      </c>
      <c r="I47" s="1"/>
      <c r="J47" s="1">
        <f t="shared" si="1"/>
        <v>3.6487500000000002</v>
      </c>
      <c r="K47" s="1"/>
      <c r="L47" s="1">
        <f>Tabela_Belki_0[[#This Row],[hd]]+Tabela_Belki_0[[#This Row],[h '[m']]]</f>
        <v>0.8</v>
      </c>
      <c r="M47" s="1">
        <f>Tabela_Belki_0[[#This Row],[h '[m']]]*Tabela_Belki_0[[#This Row],[A '[m2']]]</f>
        <v>2.9190000000000005</v>
      </c>
      <c r="N47" s="1">
        <f>PRODUCT(Tabela_Belki_0[[#This Row],[Szt.]],Tabela_Belki_0[[#This Row],[Vj '[m3']]])</f>
        <v>2.9190000000000005</v>
      </c>
      <c r="O47" s="1"/>
    </row>
    <row r="48" spans="2:15" x14ac:dyDescent="0.3">
      <c r="B48" t="s">
        <v>140</v>
      </c>
      <c r="C48" t="s">
        <v>169</v>
      </c>
      <c r="D48">
        <v>1</v>
      </c>
      <c r="E48" t="s">
        <v>359</v>
      </c>
      <c r="F48">
        <v>6.11</v>
      </c>
      <c r="G48">
        <v>0.6</v>
      </c>
      <c r="H48" s="1">
        <v>0.8</v>
      </c>
      <c r="I48" s="1"/>
      <c r="J48" s="1">
        <f t="shared" si="1"/>
        <v>3.6659999999999999</v>
      </c>
      <c r="K48" s="1">
        <v>2.57</v>
      </c>
      <c r="L48" s="1">
        <f>Tabela_Belki_0[[#This Row],[hd]]+Tabela_Belki_0[[#This Row],[h '[m']]]</f>
        <v>3.37</v>
      </c>
      <c r="M48" s="1">
        <f>Tabela_Belki_0[[#This Row],[h '[m']]]*Tabela_Belki_0[[#This Row],[A '[m2']]]</f>
        <v>2.9328000000000003</v>
      </c>
      <c r="N48" s="1">
        <f>PRODUCT(Tabela_Belki_0[[#This Row],[Szt.]],Tabela_Belki_0[[#This Row],[Vj '[m3']]])</f>
        <v>2.9328000000000003</v>
      </c>
      <c r="O48" s="1"/>
    </row>
    <row r="49" spans="2:15" x14ac:dyDescent="0.3">
      <c r="B49" t="s">
        <v>140</v>
      </c>
      <c r="C49" t="s">
        <v>169</v>
      </c>
      <c r="D49">
        <v>1</v>
      </c>
      <c r="E49" t="s">
        <v>360</v>
      </c>
      <c r="F49">
        <v>3.85</v>
      </c>
      <c r="G49">
        <v>0.6</v>
      </c>
      <c r="H49" s="1">
        <v>0.6</v>
      </c>
      <c r="I49" s="1"/>
      <c r="J49" s="1">
        <f t="shared" si="1"/>
        <v>2.31</v>
      </c>
      <c r="K49" s="1">
        <v>2.77</v>
      </c>
      <c r="L49" s="1">
        <f>Tabela_Belki_0[[#This Row],[hd]]+Tabela_Belki_0[[#This Row],[h '[m']]]</f>
        <v>3.37</v>
      </c>
      <c r="M49" s="1">
        <f>Tabela_Belki_0[[#This Row],[h '[m']]]*Tabela_Belki_0[[#This Row],[A '[m2']]]</f>
        <v>1.3859999999999999</v>
      </c>
      <c r="N49" s="1">
        <f>PRODUCT(Tabela_Belki_0[[#This Row],[Szt.]],Tabela_Belki_0[[#This Row],[Vj '[m3']]])</f>
        <v>1.3859999999999999</v>
      </c>
      <c r="O49" s="1"/>
    </row>
    <row r="50" spans="2:15" x14ac:dyDescent="0.3">
      <c r="B50" t="s">
        <v>140</v>
      </c>
      <c r="C50" t="s">
        <v>169</v>
      </c>
      <c r="D50">
        <v>1</v>
      </c>
      <c r="E50" t="s">
        <v>361</v>
      </c>
      <c r="F50">
        <f>13.015-0.35</f>
        <v>12.665000000000001</v>
      </c>
      <c r="G50">
        <v>0.6</v>
      </c>
      <c r="H50" s="1">
        <v>0.8</v>
      </c>
      <c r="I50" s="1"/>
      <c r="J50" s="1">
        <f t="shared" si="1"/>
        <v>7.5990000000000002</v>
      </c>
      <c r="K50" s="1">
        <v>2.57</v>
      </c>
      <c r="L50" s="1">
        <f>Tabela_Belki_0[[#This Row],[hd]]+Tabela_Belki_0[[#This Row],[h '[m']]]</f>
        <v>3.37</v>
      </c>
      <c r="M50" s="1">
        <f>Tabela_Belki_0[[#This Row],[h '[m']]]*Tabela_Belki_0[[#This Row],[A '[m2']]]</f>
        <v>6.0792000000000002</v>
      </c>
      <c r="N50" s="1">
        <f>PRODUCT(Tabela_Belki_0[[#This Row],[Szt.]],Tabela_Belki_0[[#This Row],[Vj '[m3']]])</f>
        <v>6.0792000000000002</v>
      </c>
      <c r="O50" s="1"/>
    </row>
    <row r="51" spans="2:15" x14ac:dyDescent="0.3">
      <c r="B51" t="s">
        <v>140</v>
      </c>
      <c r="C51" t="s">
        <v>169</v>
      </c>
      <c r="D51">
        <v>1</v>
      </c>
      <c r="E51" t="s">
        <v>356</v>
      </c>
      <c r="F51">
        <v>7.99</v>
      </c>
      <c r="G51">
        <v>0.35</v>
      </c>
      <c r="H51" s="1">
        <v>0.65</v>
      </c>
      <c r="I51" s="1"/>
      <c r="J51" s="1">
        <f t="shared" si="1"/>
        <v>2.7965</v>
      </c>
      <c r="K51" s="1">
        <v>2.33</v>
      </c>
      <c r="L51" s="1">
        <f>Tabela_Belki_0[[#This Row],[hd]]+Tabela_Belki_0[[#This Row],[h '[m']]]</f>
        <v>2.98</v>
      </c>
      <c r="M51" s="1">
        <f>Tabela_Belki_0[[#This Row],[h '[m']]]*Tabela_Belki_0[[#This Row],[A '[m2']]]</f>
        <v>1.817725</v>
      </c>
      <c r="N51" s="1">
        <f>PRODUCT(Tabela_Belki_0[[#This Row],[Szt.]],Tabela_Belki_0[[#This Row],[Vj '[m3']]])</f>
        <v>1.817725</v>
      </c>
      <c r="O51" s="1"/>
    </row>
    <row r="52" spans="2:15" x14ac:dyDescent="0.3">
      <c r="B52" t="s">
        <v>140</v>
      </c>
      <c r="C52" t="s">
        <v>169</v>
      </c>
      <c r="D52">
        <v>1</v>
      </c>
      <c r="E52" t="s">
        <v>357</v>
      </c>
      <c r="F52">
        <v>3.63</v>
      </c>
      <c r="G52">
        <v>0.35</v>
      </c>
      <c r="H52" s="1">
        <v>1.04</v>
      </c>
      <c r="I52" s="1"/>
      <c r="J52" s="1">
        <f t="shared" si="1"/>
        <v>1.2705</v>
      </c>
      <c r="K52" s="1">
        <v>2.33</v>
      </c>
      <c r="L52" s="1">
        <f>Tabela_Belki_0[[#This Row],[hd]]+Tabela_Belki_0[[#This Row],[h '[m']]]</f>
        <v>3.37</v>
      </c>
      <c r="M52" s="1">
        <f>Tabela_Belki_0[[#This Row],[h '[m']]]*Tabela_Belki_0[[#This Row],[A '[m2']]]</f>
        <v>1.3213200000000001</v>
      </c>
      <c r="N52" s="1">
        <f>PRODUCT(Tabela_Belki_0[[#This Row],[Szt.]],Tabela_Belki_0[[#This Row],[Vj '[m3']]])</f>
        <v>1.3213200000000001</v>
      </c>
      <c r="O52" s="1"/>
    </row>
    <row r="53" spans="2:15" x14ac:dyDescent="0.3">
      <c r="B53" t="s">
        <v>140</v>
      </c>
      <c r="C53" t="s">
        <v>169</v>
      </c>
      <c r="D53">
        <v>1</v>
      </c>
      <c r="E53" t="s">
        <v>358</v>
      </c>
      <c r="F53">
        <v>14.625</v>
      </c>
      <c r="G53">
        <v>0.35</v>
      </c>
      <c r="H53" s="1">
        <v>0.8</v>
      </c>
      <c r="I53" s="1"/>
      <c r="J53" s="1">
        <f t="shared" si="1"/>
        <v>5.1187499999999995</v>
      </c>
      <c r="K53" s="1">
        <v>2.57</v>
      </c>
      <c r="L53" s="1">
        <f>Tabela_Belki_0[[#This Row],[hd]]+Tabela_Belki_0[[#This Row],[h '[m']]]</f>
        <v>3.37</v>
      </c>
      <c r="M53" s="1">
        <f>Tabela_Belki_0[[#This Row],[h '[m']]]*Tabela_Belki_0[[#This Row],[A '[m2']]]</f>
        <v>4.0949999999999998</v>
      </c>
      <c r="N53" s="1">
        <f>PRODUCT(Tabela_Belki_0[[#This Row],[Szt.]],Tabela_Belki_0[[#This Row],[Vj '[m3']]])</f>
        <v>4.0949999999999998</v>
      </c>
      <c r="O53" s="1"/>
    </row>
    <row r="54" spans="2:15" x14ac:dyDescent="0.3">
      <c r="B54" t="s">
        <v>140</v>
      </c>
      <c r="C54" t="s">
        <v>169</v>
      </c>
      <c r="D54">
        <v>1</v>
      </c>
      <c r="E54" t="s">
        <v>116</v>
      </c>
      <c r="F54">
        <v>12.335000000000001</v>
      </c>
      <c r="G54">
        <v>0.35</v>
      </c>
      <c r="H54" s="1">
        <v>0.8</v>
      </c>
      <c r="I54" s="1"/>
      <c r="J54" s="1">
        <f t="shared" si="1"/>
        <v>4.3172499999999996</v>
      </c>
      <c r="K54" s="1">
        <v>2.57</v>
      </c>
      <c r="L54" s="1">
        <f>Tabela_Belki_0[[#This Row],[hd]]+Tabela_Belki_0[[#This Row],[h '[m']]]</f>
        <v>3.37</v>
      </c>
      <c r="M54" s="1">
        <f>Tabela_Belki_0[[#This Row],[h '[m']]]*Tabela_Belki_0[[#This Row],[A '[m2']]]</f>
        <v>3.4537999999999998</v>
      </c>
      <c r="N54" s="1">
        <f>PRODUCT(Tabela_Belki_0[[#This Row],[Szt.]],Tabela_Belki_0[[#This Row],[Vj '[m3']]])</f>
        <v>3.4537999999999998</v>
      </c>
      <c r="O54" s="1"/>
    </row>
    <row r="55" spans="2:15" x14ac:dyDescent="0.3">
      <c r="B55" t="s">
        <v>140</v>
      </c>
      <c r="C55" t="s">
        <v>169</v>
      </c>
      <c r="D55">
        <v>1</v>
      </c>
      <c r="E55" t="s">
        <v>117</v>
      </c>
      <c r="F55">
        <f>4.9-0.6-0.6</f>
        <v>3.7000000000000006</v>
      </c>
      <c r="G55">
        <v>0.35</v>
      </c>
      <c r="H55" s="1">
        <v>0.8</v>
      </c>
      <c r="I55" s="1"/>
      <c r="J55" s="1">
        <f t="shared" si="1"/>
        <v>1.2950000000000002</v>
      </c>
      <c r="K55" s="1"/>
      <c r="L55" s="1">
        <f>Tabela_Belki_0[[#This Row],[hd]]+Tabela_Belki_0[[#This Row],[h '[m']]]</f>
        <v>0.8</v>
      </c>
      <c r="M55" s="1">
        <f>Tabela_Belki_0[[#This Row],[h '[m']]]*Tabela_Belki_0[[#This Row],[A '[m2']]]</f>
        <v>1.0360000000000003</v>
      </c>
      <c r="N55" s="1">
        <f>PRODUCT(Tabela_Belki_0[[#This Row],[Szt.]],Tabela_Belki_0[[#This Row],[Vj '[m3']]])</f>
        <v>1.0360000000000003</v>
      </c>
      <c r="O55" s="1"/>
    </row>
    <row r="56" spans="2:15" x14ac:dyDescent="0.3">
      <c r="B56" t="s">
        <v>140</v>
      </c>
      <c r="C56" t="s">
        <v>169</v>
      </c>
      <c r="D56">
        <v>1</v>
      </c>
      <c r="E56" t="s">
        <v>118</v>
      </c>
      <c r="F56">
        <f>14.99-0.6-0.6-0.35-0.6</f>
        <v>12.840000000000002</v>
      </c>
      <c r="G56">
        <v>0.35</v>
      </c>
      <c r="H56" s="1">
        <v>0.8</v>
      </c>
      <c r="I56" s="1"/>
      <c r="J56" s="1">
        <f t="shared" si="1"/>
        <v>4.4940000000000007</v>
      </c>
      <c r="K56" s="1">
        <v>2.57</v>
      </c>
      <c r="L56" s="1">
        <f>Tabela_Belki_0[[#This Row],[hd]]+Tabela_Belki_0[[#This Row],[h '[m']]]</f>
        <v>3.37</v>
      </c>
      <c r="M56" s="1">
        <f>Tabela_Belki_0[[#This Row],[h '[m']]]*Tabela_Belki_0[[#This Row],[A '[m2']]]</f>
        <v>3.5952000000000006</v>
      </c>
      <c r="N56" s="1">
        <f>PRODUCT(Tabela_Belki_0[[#This Row],[Szt.]],Tabela_Belki_0[[#This Row],[Vj '[m3']]])</f>
        <v>3.5952000000000006</v>
      </c>
      <c r="O56" s="1"/>
    </row>
    <row r="57" spans="2:15" x14ac:dyDescent="0.3">
      <c r="B57" t="s">
        <v>140</v>
      </c>
      <c r="C57" t="s">
        <v>169</v>
      </c>
      <c r="D57">
        <v>1</v>
      </c>
      <c r="E57" t="s">
        <v>351</v>
      </c>
      <c r="F57">
        <v>7.99</v>
      </c>
      <c r="G57">
        <v>0.35</v>
      </c>
      <c r="H57" s="1">
        <v>0.65</v>
      </c>
      <c r="I57" s="1"/>
      <c r="J57" s="1">
        <f t="shared" si="1"/>
        <v>2.7965</v>
      </c>
      <c r="K57" s="1">
        <v>2.33</v>
      </c>
      <c r="L57" s="1">
        <f>Tabela_Belki_0[[#This Row],[hd]]+Tabela_Belki_0[[#This Row],[h '[m']]]</f>
        <v>2.98</v>
      </c>
      <c r="M57" s="1">
        <f>Tabela_Belki_0[[#This Row],[h '[m']]]*Tabela_Belki_0[[#This Row],[A '[m2']]]</f>
        <v>1.817725</v>
      </c>
      <c r="N57" s="1">
        <f>PRODUCT(Tabela_Belki_0[[#This Row],[Szt.]],Tabela_Belki_0[[#This Row],[Vj '[m3']]])</f>
        <v>1.817725</v>
      </c>
      <c r="O57" s="1"/>
    </row>
    <row r="58" spans="2:15" x14ac:dyDescent="0.3">
      <c r="B58" t="s">
        <v>140</v>
      </c>
      <c r="C58" t="s">
        <v>169</v>
      </c>
      <c r="D58">
        <v>1</v>
      </c>
      <c r="E58" t="s">
        <v>352</v>
      </c>
      <c r="F58">
        <v>3.6349999999999998</v>
      </c>
      <c r="G58">
        <v>0.35</v>
      </c>
      <c r="H58" s="1">
        <v>1.04</v>
      </c>
      <c r="I58" s="1"/>
      <c r="J58" s="1">
        <f t="shared" si="1"/>
        <v>1.2722499999999999</v>
      </c>
      <c r="K58" s="1">
        <v>2.33</v>
      </c>
      <c r="L58" s="1">
        <f>Tabela_Belki_0[[#This Row],[hd]]+Tabela_Belki_0[[#This Row],[h '[m']]]</f>
        <v>3.37</v>
      </c>
      <c r="M58" s="1">
        <f>Tabela_Belki_0[[#This Row],[h '[m']]]*Tabela_Belki_0[[#This Row],[A '[m2']]]</f>
        <v>1.32314</v>
      </c>
      <c r="N58" s="1">
        <f>PRODUCT(Tabela_Belki_0[[#This Row],[Szt.]],Tabela_Belki_0[[#This Row],[Vj '[m3']]])</f>
        <v>1.32314</v>
      </c>
      <c r="O58" s="1"/>
    </row>
    <row r="59" spans="2:15" x14ac:dyDescent="0.3">
      <c r="B59" t="s">
        <v>140</v>
      </c>
      <c r="C59" t="s">
        <v>169</v>
      </c>
      <c r="D59">
        <v>1</v>
      </c>
      <c r="E59" t="s">
        <v>353</v>
      </c>
      <c r="F59">
        <v>7.93</v>
      </c>
      <c r="G59">
        <v>0.35</v>
      </c>
      <c r="H59" s="1">
        <v>0.8</v>
      </c>
      <c r="I59" s="1"/>
      <c r="J59" s="1">
        <f t="shared" si="1"/>
        <v>2.7754999999999996</v>
      </c>
      <c r="K59" s="1">
        <v>2.57</v>
      </c>
      <c r="L59" s="1">
        <f>Tabela_Belki_0[[#This Row],[hd]]+Tabela_Belki_0[[#This Row],[h '[m']]]</f>
        <v>3.37</v>
      </c>
      <c r="M59" s="1">
        <f>Tabela_Belki_0[[#This Row],[h '[m']]]*Tabela_Belki_0[[#This Row],[A '[m2']]]</f>
        <v>2.2203999999999997</v>
      </c>
      <c r="N59" s="1">
        <f>PRODUCT(Tabela_Belki_0[[#This Row],[Szt.]],Tabela_Belki_0[[#This Row],[Vj '[m3']]])</f>
        <v>2.2203999999999997</v>
      </c>
      <c r="O59" s="1"/>
    </row>
    <row r="60" spans="2:15" x14ac:dyDescent="0.3">
      <c r="B60" t="s">
        <v>140</v>
      </c>
      <c r="C60" t="s">
        <v>169</v>
      </c>
      <c r="D60">
        <v>1</v>
      </c>
      <c r="E60" t="s">
        <v>354</v>
      </c>
      <c r="F60">
        <v>2.39</v>
      </c>
      <c r="G60">
        <v>0.35</v>
      </c>
      <c r="H60" s="1">
        <v>1.04</v>
      </c>
      <c r="I60" s="1"/>
      <c r="J60" s="1">
        <f t="shared" si="1"/>
        <v>0.83650000000000002</v>
      </c>
      <c r="K60" s="1">
        <v>2.33</v>
      </c>
      <c r="L60" s="1">
        <f>Tabela_Belki_0[[#This Row],[hd]]+Tabela_Belki_0[[#This Row],[h '[m']]]</f>
        <v>3.37</v>
      </c>
      <c r="M60" s="1">
        <f>Tabela_Belki_0[[#This Row],[h '[m']]]*Tabela_Belki_0[[#This Row],[A '[m2']]]</f>
        <v>0.86996000000000007</v>
      </c>
      <c r="N60" s="1">
        <f>PRODUCT(Tabela_Belki_0[[#This Row],[Szt.]],Tabela_Belki_0[[#This Row],[Vj '[m3']]])</f>
        <v>0.86996000000000007</v>
      </c>
      <c r="O60" s="1"/>
    </row>
    <row r="61" spans="2:15" x14ac:dyDescent="0.3">
      <c r="B61" t="s">
        <v>140</v>
      </c>
      <c r="C61" t="s">
        <v>169</v>
      </c>
      <c r="D61">
        <v>1</v>
      </c>
      <c r="E61" t="s">
        <v>355</v>
      </c>
      <c r="F61">
        <v>4.3</v>
      </c>
      <c r="G61">
        <v>0.35</v>
      </c>
      <c r="H61" s="1">
        <v>0.65</v>
      </c>
      <c r="I61" s="1"/>
      <c r="J61" s="1">
        <f t="shared" ref="J61:J84" si="5">PRODUCT(F61:G61)</f>
        <v>1.5049999999999999</v>
      </c>
      <c r="K61" s="1">
        <v>2.33</v>
      </c>
      <c r="L61" s="1">
        <f>Tabela_Belki_0[[#This Row],[hd]]+Tabela_Belki_0[[#This Row],[h '[m']]]</f>
        <v>2.98</v>
      </c>
      <c r="M61" s="1">
        <f>Tabela_Belki_0[[#This Row],[h '[m']]]*Tabela_Belki_0[[#This Row],[A '[m2']]]</f>
        <v>0.97824999999999995</v>
      </c>
      <c r="N61" s="1">
        <f>PRODUCT(Tabela_Belki_0[[#This Row],[Szt.]],Tabela_Belki_0[[#This Row],[Vj '[m3']]])</f>
        <v>0.97824999999999995</v>
      </c>
      <c r="O61" s="1"/>
    </row>
    <row r="62" spans="2:15" x14ac:dyDescent="0.3">
      <c r="B62" t="s">
        <v>140</v>
      </c>
      <c r="C62" t="s">
        <v>169</v>
      </c>
      <c r="D62">
        <v>1</v>
      </c>
      <c r="E62" t="s">
        <v>119</v>
      </c>
      <c r="F62">
        <v>4.4950000000000001</v>
      </c>
      <c r="G62">
        <v>0.35</v>
      </c>
      <c r="H62" s="1">
        <v>0.35</v>
      </c>
      <c r="I62" s="1"/>
      <c r="J62" s="1">
        <f t="shared" si="5"/>
        <v>1.57325</v>
      </c>
      <c r="K62" s="1">
        <v>2.33</v>
      </c>
      <c r="L62" s="1">
        <f>Tabela_Belki_0[[#This Row],[hd]]+Tabela_Belki_0[[#This Row],[h '[m']]]</f>
        <v>2.68</v>
      </c>
      <c r="M62" s="1">
        <f>Tabela_Belki_0[[#This Row],[h '[m']]]*Tabela_Belki_0[[#This Row],[A '[m2']]]</f>
        <v>0.5506375</v>
      </c>
      <c r="N62" s="1">
        <f>PRODUCT(Tabela_Belki_0[[#This Row],[Szt.]],Tabela_Belki_0[[#This Row],[Vj '[m3']]])</f>
        <v>0.5506375</v>
      </c>
      <c r="O62" s="1"/>
    </row>
    <row r="63" spans="2:15" x14ac:dyDescent="0.3">
      <c r="B63" t="s">
        <v>140</v>
      </c>
      <c r="C63" t="s">
        <v>169</v>
      </c>
      <c r="D63">
        <v>1</v>
      </c>
      <c r="E63" t="s">
        <v>348</v>
      </c>
      <c r="F63">
        <f>5.6-0.17</f>
        <v>5.43</v>
      </c>
      <c r="G63">
        <v>0.6</v>
      </c>
      <c r="H63" s="1">
        <v>1.04</v>
      </c>
      <c r="I63" s="1"/>
      <c r="J63" s="1">
        <f t="shared" si="5"/>
        <v>3.2579999999999996</v>
      </c>
      <c r="K63" s="1">
        <v>2.33</v>
      </c>
      <c r="L63" s="1">
        <f>Tabela_Belki_0[[#This Row],[hd]]+Tabela_Belki_0[[#This Row],[h '[m']]]</f>
        <v>3.37</v>
      </c>
      <c r="M63" s="1">
        <f>Tabela_Belki_0[[#This Row],[h '[m']]]*Tabela_Belki_0[[#This Row],[A '[m2']]]</f>
        <v>3.3883199999999998</v>
      </c>
      <c r="N63" s="1">
        <f>PRODUCT(Tabela_Belki_0[[#This Row],[Szt.]],Tabela_Belki_0[[#This Row],[Vj '[m3']]])</f>
        <v>3.3883199999999998</v>
      </c>
      <c r="O63" s="1"/>
    </row>
    <row r="64" spans="2:15" x14ac:dyDescent="0.3">
      <c r="B64" t="s">
        <v>140</v>
      </c>
      <c r="C64" t="s">
        <v>169</v>
      </c>
      <c r="D64">
        <v>1</v>
      </c>
      <c r="E64" t="s">
        <v>349</v>
      </c>
      <c r="F64">
        <v>5.6</v>
      </c>
      <c r="G64">
        <v>0.6</v>
      </c>
      <c r="H64" s="1">
        <v>0.65</v>
      </c>
      <c r="I64" s="1"/>
      <c r="J64" s="1">
        <f t="shared" ref="J64:J65" si="6">PRODUCT(F64:G64)</f>
        <v>3.36</v>
      </c>
      <c r="K64" s="1">
        <v>2.33</v>
      </c>
      <c r="L64" s="1">
        <f>Tabela_Belki_0[[#This Row],[hd]]+Tabela_Belki_0[[#This Row],[h '[m']]]</f>
        <v>2.98</v>
      </c>
      <c r="M64" s="1">
        <f>Tabela_Belki_0[[#This Row],[h '[m']]]*Tabela_Belki_0[[#This Row],[A '[m2']]]</f>
        <v>2.1840000000000002</v>
      </c>
      <c r="N64" s="1">
        <f>PRODUCT(Tabela_Belki_0[[#This Row],[Szt.]],Tabela_Belki_0[[#This Row],[Vj '[m3']]])</f>
        <v>2.1840000000000002</v>
      </c>
      <c r="O64" s="1"/>
    </row>
    <row r="65" spans="2:15" x14ac:dyDescent="0.3">
      <c r="B65" t="s">
        <v>140</v>
      </c>
      <c r="C65" t="s">
        <v>169</v>
      </c>
      <c r="D65">
        <v>1</v>
      </c>
      <c r="E65" t="s">
        <v>350</v>
      </c>
      <c r="F65">
        <v>5.95</v>
      </c>
      <c r="G65">
        <v>0.6</v>
      </c>
      <c r="H65" s="1">
        <v>1.04</v>
      </c>
      <c r="I65" s="1"/>
      <c r="J65" s="1">
        <f t="shared" si="6"/>
        <v>3.57</v>
      </c>
      <c r="K65" s="1">
        <v>2.33</v>
      </c>
      <c r="L65" s="1">
        <f>Tabela_Belki_0[[#This Row],[hd]]+Tabela_Belki_0[[#This Row],[h '[m']]]</f>
        <v>3.37</v>
      </c>
      <c r="M65" s="1">
        <f>Tabela_Belki_0[[#This Row],[h '[m']]]*Tabela_Belki_0[[#This Row],[A '[m2']]]</f>
        <v>3.7128000000000001</v>
      </c>
      <c r="N65" s="1">
        <f>PRODUCT(Tabela_Belki_0[[#This Row],[Szt.]],Tabela_Belki_0[[#This Row],[Vj '[m3']]])</f>
        <v>3.7128000000000001</v>
      </c>
      <c r="O65" s="1"/>
    </row>
    <row r="66" spans="2:15" x14ac:dyDescent="0.3">
      <c r="B66" t="s">
        <v>140</v>
      </c>
      <c r="C66" t="s">
        <v>169</v>
      </c>
      <c r="D66">
        <v>1</v>
      </c>
      <c r="E66" t="s">
        <v>120</v>
      </c>
      <c r="F66">
        <f>6.2-0.35-0.18</f>
        <v>5.6700000000000008</v>
      </c>
      <c r="G66">
        <v>0.35</v>
      </c>
      <c r="H66" s="1">
        <v>0.8</v>
      </c>
      <c r="I66" s="1"/>
      <c r="J66" s="1">
        <f t="shared" si="5"/>
        <v>1.9845000000000002</v>
      </c>
      <c r="K66" s="1">
        <v>2.57</v>
      </c>
      <c r="L66" s="1">
        <f>Tabela_Belki_0[[#This Row],[hd]]+Tabela_Belki_0[[#This Row],[h '[m']]]</f>
        <v>3.37</v>
      </c>
      <c r="M66" s="1">
        <f>Tabela_Belki_0[[#This Row],[h '[m']]]*Tabela_Belki_0[[#This Row],[A '[m2']]]</f>
        <v>1.5876000000000001</v>
      </c>
      <c r="N66" s="1">
        <f>PRODUCT(Tabela_Belki_0[[#This Row],[Szt.]],Tabela_Belki_0[[#This Row],[Vj '[m3']]])</f>
        <v>1.5876000000000001</v>
      </c>
      <c r="O66" s="1"/>
    </row>
    <row r="67" spans="2:15" x14ac:dyDescent="0.3">
      <c r="B67" t="s">
        <v>140</v>
      </c>
      <c r="C67" t="s">
        <v>169</v>
      </c>
      <c r="D67">
        <v>1</v>
      </c>
      <c r="E67" t="s">
        <v>121</v>
      </c>
      <c r="F67">
        <f>10.04-0.35-0.35-0.35</f>
        <v>8.99</v>
      </c>
      <c r="G67">
        <v>0.6</v>
      </c>
      <c r="H67" s="1">
        <v>0.8</v>
      </c>
      <c r="I67" s="1"/>
      <c r="J67" s="1">
        <f t="shared" si="5"/>
        <v>5.3940000000000001</v>
      </c>
      <c r="K67" s="1">
        <v>2.57</v>
      </c>
      <c r="L67" s="1">
        <f>Tabela_Belki_0[[#This Row],[hd]]+Tabela_Belki_0[[#This Row],[h '[m']]]</f>
        <v>3.37</v>
      </c>
      <c r="M67" s="1">
        <f>Tabela_Belki_0[[#This Row],[h '[m']]]*Tabela_Belki_0[[#This Row],[A '[m2']]]</f>
        <v>4.3151999999999999</v>
      </c>
      <c r="N67" s="1">
        <f>PRODUCT(Tabela_Belki_0[[#This Row],[Szt.]],Tabela_Belki_0[[#This Row],[Vj '[m3']]])</f>
        <v>4.3151999999999999</v>
      </c>
      <c r="O67" s="1"/>
    </row>
    <row r="68" spans="2:15" x14ac:dyDescent="0.3">
      <c r="B68" t="s">
        <v>140</v>
      </c>
      <c r="C68" t="s">
        <v>169</v>
      </c>
      <c r="D68">
        <v>1</v>
      </c>
      <c r="E68" t="s">
        <v>346</v>
      </c>
      <c r="F68">
        <v>6.11</v>
      </c>
      <c r="G68">
        <v>0.6</v>
      </c>
      <c r="H68" s="1">
        <v>0.8</v>
      </c>
      <c r="I68" s="1"/>
      <c r="J68" s="1">
        <f t="shared" si="5"/>
        <v>3.6659999999999999</v>
      </c>
      <c r="K68" s="1">
        <v>2.57</v>
      </c>
      <c r="L68" s="1">
        <f>Tabela_Belki_0[[#This Row],[hd]]+Tabela_Belki_0[[#This Row],[h '[m']]]</f>
        <v>3.37</v>
      </c>
      <c r="M68" s="1">
        <f>Tabela_Belki_0[[#This Row],[h '[m']]]*Tabela_Belki_0[[#This Row],[A '[m2']]]</f>
        <v>2.9328000000000003</v>
      </c>
      <c r="N68" s="1">
        <f>PRODUCT(Tabela_Belki_0[[#This Row],[Szt.]],Tabela_Belki_0[[#This Row],[Vj '[m3']]])</f>
        <v>2.9328000000000003</v>
      </c>
      <c r="O68" s="1"/>
    </row>
    <row r="69" spans="2:15" x14ac:dyDescent="0.3">
      <c r="B69" t="s">
        <v>140</v>
      </c>
      <c r="C69" t="s">
        <v>169</v>
      </c>
      <c r="D69">
        <v>1</v>
      </c>
      <c r="E69" t="s">
        <v>347</v>
      </c>
      <c r="F69">
        <v>3.85</v>
      </c>
      <c r="G69">
        <v>0.6</v>
      </c>
      <c r="H69" s="1">
        <v>0.6</v>
      </c>
      <c r="I69" s="1"/>
      <c r="J69" s="1">
        <f t="shared" si="5"/>
        <v>2.31</v>
      </c>
      <c r="K69" s="1">
        <v>2.77</v>
      </c>
      <c r="L69" s="1">
        <f>Tabela_Belki_0[[#This Row],[hd]]+Tabela_Belki_0[[#This Row],[h '[m']]]</f>
        <v>3.37</v>
      </c>
      <c r="M69" s="1">
        <f>Tabela_Belki_0[[#This Row],[h '[m']]]*Tabela_Belki_0[[#This Row],[A '[m2']]]</f>
        <v>1.3859999999999999</v>
      </c>
      <c r="N69" s="1">
        <f>PRODUCT(Tabela_Belki_0[[#This Row],[Szt.]],Tabela_Belki_0[[#This Row],[Vj '[m3']]])</f>
        <v>1.3859999999999999</v>
      </c>
      <c r="O69" s="1"/>
    </row>
    <row r="70" spans="2:15" x14ac:dyDescent="0.3">
      <c r="B70" t="s">
        <v>140</v>
      </c>
      <c r="C70" t="s">
        <v>169</v>
      </c>
      <c r="D70">
        <v>1</v>
      </c>
      <c r="E70" t="s">
        <v>122</v>
      </c>
      <c r="F70">
        <f>6.425-0.35</f>
        <v>6.0750000000000002</v>
      </c>
      <c r="G70">
        <v>0.35</v>
      </c>
      <c r="H70" s="1">
        <v>0.8</v>
      </c>
      <c r="I70" s="1"/>
      <c r="J70" s="1">
        <f t="shared" si="5"/>
        <v>2.1262499999999998</v>
      </c>
      <c r="K70" s="1">
        <v>2.57</v>
      </c>
      <c r="L70" s="1">
        <f>Tabela_Belki_0[[#This Row],[hd]]+Tabela_Belki_0[[#This Row],[h '[m']]]</f>
        <v>3.37</v>
      </c>
      <c r="M70" s="1">
        <f>Tabela_Belki_0[[#This Row],[h '[m']]]*Tabela_Belki_0[[#This Row],[A '[m2']]]</f>
        <v>1.7009999999999998</v>
      </c>
      <c r="N70" s="1">
        <f>PRODUCT(Tabela_Belki_0[[#This Row],[Szt.]],Tabela_Belki_0[[#This Row],[Vj '[m3']]])</f>
        <v>1.7009999999999998</v>
      </c>
      <c r="O70" s="1"/>
    </row>
    <row r="71" spans="2:15" x14ac:dyDescent="0.3">
      <c r="B71" t="s">
        <v>140</v>
      </c>
      <c r="C71" t="s">
        <v>169</v>
      </c>
      <c r="D71">
        <v>1</v>
      </c>
      <c r="E71" t="s">
        <v>123</v>
      </c>
      <c r="F71">
        <f>7.415-0.35</f>
        <v>7.0650000000000004</v>
      </c>
      <c r="G71">
        <v>0.6</v>
      </c>
      <c r="H71" s="1">
        <v>0.8</v>
      </c>
      <c r="I71" s="1"/>
      <c r="J71" s="1">
        <f t="shared" si="5"/>
        <v>4.2389999999999999</v>
      </c>
      <c r="K71" s="1">
        <v>2.57</v>
      </c>
      <c r="L71" s="1">
        <f>Tabela_Belki_0[[#This Row],[hd]]+Tabela_Belki_0[[#This Row],[h '[m']]]</f>
        <v>3.37</v>
      </c>
      <c r="M71" s="1">
        <f>Tabela_Belki_0[[#This Row],[h '[m']]]*Tabela_Belki_0[[#This Row],[A '[m2']]]</f>
        <v>3.3912</v>
      </c>
      <c r="N71" s="1">
        <f>PRODUCT(Tabela_Belki_0[[#This Row],[Szt.]],Tabela_Belki_0[[#This Row],[Vj '[m3']]])</f>
        <v>3.3912</v>
      </c>
      <c r="O71" s="1"/>
    </row>
    <row r="72" spans="2:15" x14ac:dyDescent="0.3">
      <c r="B72" t="s">
        <v>140</v>
      </c>
      <c r="C72" t="s">
        <v>169</v>
      </c>
      <c r="D72">
        <v>1</v>
      </c>
      <c r="E72" t="s">
        <v>124</v>
      </c>
      <c r="F72">
        <f>7.35-0.35-0.35</f>
        <v>6.65</v>
      </c>
      <c r="G72">
        <v>0.35</v>
      </c>
      <c r="H72" s="1">
        <v>0.8</v>
      </c>
      <c r="I72" s="1"/>
      <c r="J72" s="1">
        <f t="shared" si="5"/>
        <v>2.3275000000000001</v>
      </c>
      <c r="K72" s="1">
        <v>2.57</v>
      </c>
      <c r="L72" s="1">
        <f>Tabela_Belki_0[[#This Row],[hd]]+Tabela_Belki_0[[#This Row],[h '[m']]]</f>
        <v>3.37</v>
      </c>
      <c r="M72" s="1">
        <f>Tabela_Belki_0[[#This Row],[h '[m']]]*Tabela_Belki_0[[#This Row],[A '[m2']]]</f>
        <v>1.8620000000000001</v>
      </c>
      <c r="N72" s="1">
        <f>PRODUCT(Tabela_Belki_0[[#This Row],[Szt.]],Tabela_Belki_0[[#This Row],[Vj '[m3']]])</f>
        <v>1.8620000000000001</v>
      </c>
      <c r="O72" s="1"/>
    </row>
    <row r="73" spans="2:15" x14ac:dyDescent="0.3">
      <c r="B73" t="s">
        <v>140</v>
      </c>
      <c r="C73" t="s">
        <v>169</v>
      </c>
      <c r="D73">
        <v>2</v>
      </c>
      <c r="E73" t="s">
        <v>316</v>
      </c>
      <c r="F73">
        <f>6.21-2*0.35</f>
        <v>5.51</v>
      </c>
      <c r="G73">
        <v>0.35</v>
      </c>
      <c r="H73" s="1">
        <v>0.8</v>
      </c>
      <c r="I73" s="1"/>
      <c r="J73" s="1">
        <f t="shared" si="5"/>
        <v>1.9284999999999999</v>
      </c>
      <c r="K73" s="1">
        <v>2.57</v>
      </c>
      <c r="L73" s="1">
        <f>Tabela_Belki_0[[#This Row],[hd]]+Tabela_Belki_0[[#This Row],[h '[m']]]</f>
        <v>3.37</v>
      </c>
      <c r="M73" s="1">
        <f>Tabela_Belki_0[[#This Row],[h '[m']]]*Tabela_Belki_0[[#This Row],[A '[m2']]]</f>
        <v>1.5427999999999999</v>
      </c>
      <c r="N73" s="1">
        <f>PRODUCT(Tabela_Belki_0[[#This Row],[Szt.]],Tabela_Belki_0[[#This Row],[Vj '[m3']]])</f>
        <v>3.0855999999999999</v>
      </c>
      <c r="O73" s="1"/>
    </row>
    <row r="74" spans="2:15" x14ac:dyDescent="0.3">
      <c r="B74" t="s">
        <v>140</v>
      </c>
      <c r="C74" t="s">
        <v>169</v>
      </c>
      <c r="D74">
        <v>1</v>
      </c>
      <c r="E74" t="s">
        <v>125</v>
      </c>
      <c r="F74">
        <f>13.71-0.35</f>
        <v>13.360000000000001</v>
      </c>
      <c r="G74">
        <v>0.35</v>
      </c>
      <c r="H74" s="1">
        <v>0.97</v>
      </c>
      <c r="I74" s="1"/>
      <c r="J74" s="1">
        <f t="shared" si="5"/>
        <v>4.6760000000000002</v>
      </c>
      <c r="K74" s="1">
        <v>2.4</v>
      </c>
      <c r="L74" s="1">
        <f>Tabela_Belki_0[[#This Row],[hd]]+Tabela_Belki_0[[#This Row],[h '[m']]]</f>
        <v>3.37</v>
      </c>
      <c r="M74" s="1">
        <f>Tabela_Belki_0[[#This Row],[h '[m']]]*Tabela_Belki_0[[#This Row],[A '[m2']]]</f>
        <v>4.5357200000000004</v>
      </c>
      <c r="N74" s="1">
        <f>PRODUCT(Tabela_Belki_0[[#This Row],[Szt.]],Tabela_Belki_0[[#This Row],[Vj '[m3']]])</f>
        <v>4.5357200000000004</v>
      </c>
      <c r="O74" s="1"/>
    </row>
    <row r="75" spans="2:15" x14ac:dyDescent="0.3">
      <c r="B75" t="s">
        <v>140</v>
      </c>
      <c r="C75" t="s">
        <v>169</v>
      </c>
      <c r="D75">
        <v>1</v>
      </c>
      <c r="E75" t="s">
        <v>126</v>
      </c>
      <c r="F75">
        <f>1.8-0.6-0.6</f>
        <v>0.6000000000000002</v>
      </c>
      <c r="G75">
        <v>0.25</v>
      </c>
      <c r="H75" s="1">
        <v>0.8</v>
      </c>
      <c r="I75" s="1"/>
      <c r="J75" s="1">
        <f t="shared" si="5"/>
        <v>0.15000000000000005</v>
      </c>
      <c r="K75" s="1">
        <v>2.57</v>
      </c>
      <c r="L75" s="1">
        <f>Tabela_Belki_0[[#This Row],[hd]]+Tabela_Belki_0[[#This Row],[h '[m']]]</f>
        <v>3.37</v>
      </c>
      <c r="M75" s="1">
        <f>Tabela_Belki_0[[#This Row],[h '[m']]]*Tabela_Belki_0[[#This Row],[A '[m2']]]</f>
        <v>0.12000000000000005</v>
      </c>
      <c r="N75" s="1">
        <f>PRODUCT(Tabela_Belki_0[[#This Row],[Szt.]],Tabela_Belki_0[[#This Row],[Vj '[m3']]])</f>
        <v>0.12000000000000005</v>
      </c>
      <c r="O75" s="1"/>
    </row>
    <row r="76" spans="2:15" x14ac:dyDescent="0.3">
      <c r="B76" t="s">
        <v>140</v>
      </c>
      <c r="C76" t="s">
        <v>169</v>
      </c>
      <c r="D76">
        <v>1</v>
      </c>
      <c r="E76" t="s">
        <v>127</v>
      </c>
      <c r="F76">
        <f>8.235-0.35-0.35-0.35-0.35</f>
        <v>6.8350000000000009</v>
      </c>
      <c r="G76">
        <v>0.35</v>
      </c>
      <c r="H76" s="1">
        <v>0.8</v>
      </c>
      <c r="I76" s="1"/>
      <c r="J76" s="1">
        <f t="shared" si="5"/>
        <v>2.3922500000000002</v>
      </c>
      <c r="K76" s="1">
        <v>2.57</v>
      </c>
      <c r="L76" s="1">
        <f>Tabela_Belki_0[[#This Row],[hd]]+Tabela_Belki_0[[#This Row],[h '[m']]]</f>
        <v>3.37</v>
      </c>
      <c r="M76" s="1">
        <f>Tabela_Belki_0[[#This Row],[h '[m']]]*Tabela_Belki_0[[#This Row],[A '[m2']]]</f>
        <v>1.9138000000000002</v>
      </c>
      <c r="N76" s="1">
        <f>PRODUCT(Tabela_Belki_0[[#This Row],[Szt.]],Tabela_Belki_0[[#This Row],[Vj '[m3']]])</f>
        <v>1.9138000000000002</v>
      </c>
      <c r="O76" s="1"/>
    </row>
    <row r="77" spans="2:15" x14ac:dyDescent="0.3">
      <c r="B77" t="s">
        <v>140</v>
      </c>
      <c r="C77" t="s">
        <v>169</v>
      </c>
      <c r="D77">
        <v>1</v>
      </c>
      <c r="E77" t="s">
        <v>128</v>
      </c>
      <c r="F77">
        <f>7.62-0.35-0.6-0.6-0.6-0.35</f>
        <v>5.1200000000000019</v>
      </c>
      <c r="G77">
        <v>0.35</v>
      </c>
      <c r="H77" s="1">
        <v>0.8</v>
      </c>
      <c r="I77" s="1"/>
      <c r="J77" s="1">
        <f t="shared" si="5"/>
        <v>1.7920000000000005</v>
      </c>
      <c r="K77" s="1">
        <v>2.57</v>
      </c>
      <c r="L77" s="1">
        <f>Tabela_Belki_0[[#This Row],[hd]]+Tabela_Belki_0[[#This Row],[h '[m']]]</f>
        <v>3.37</v>
      </c>
      <c r="M77" s="1">
        <f>Tabela_Belki_0[[#This Row],[h '[m']]]*Tabela_Belki_0[[#This Row],[A '[m2']]]</f>
        <v>1.4336000000000004</v>
      </c>
      <c r="N77" s="1">
        <f>PRODUCT(Tabela_Belki_0[[#This Row],[Szt.]],Tabela_Belki_0[[#This Row],[Vj '[m3']]])</f>
        <v>1.4336000000000004</v>
      </c>
      <c r="O77" s="1"/>
    </row>
    <row r="78" spans="2:15" x14ac:dyDescent="0.3">
      <c r="B78" t="s">
        <v>140</v>
      </c>
      <c r="C78" t="s">
        <v>169</v>
      </c>
      <c r="D78">
        <v>1</v>
      </c>
      <c r="E78" t="s">
        <v>129</v>
      </c>
      <c r="F78">
        <f>3.38-0.6-0.18</f>
        <v>2.5999999999999996</v>
      </c>
      <c r="G78">
        <v>0.35</v>
      </c>
      <c r="H78" s="1">
        <v>0.8</v>
      </c>
      <c r="I78" s="1"/>
      <c r="J78" s="1">
        <f t="shared" si="5"/>
        <v>0.90999999999999981</v>
      </c>
      <c r="K78" s="1">
        <v>2.57</v>
      </c>
      <c r="L78" s="1">
        <f>Tabela_Belki_0[[#This Row],[hd]]+Tabela_Belki_0[[#This Row],[h '[m']]]</f>
        <v>3.37</v>
      </c>
      <c r="M78" s="1">
        <f>Tabela_Belki_0[[#This Row],[h '[m']]]*Tabela_Belki_0[[#This Row],[A '[m2']]]</f>
        <v>0.72799999999999987</v>
      </c>
      <c r="N78" s="1">
        <f>PRODUCT(Tabela_Belki_0[[#This Row],[Szt.]],Tabela_Belki_0[[#This Row],[Vj '[m3']]])</f>
        <v>0.72799999999999987</v>
      </c>
      <c r="O78" s="1"/>
    </row>
    <row r="79" spans="2:15" x14ac:dyDescent="0.3">
      <c r="B79" t="s">
        <v>140</v>
      </c>
      <c r="C79" t="s">
        <v>169</v>
      </c>
      <c r="D79">
        <v>1</v>
      </c>
      <c r="E79" t="s">
        <v>343</v>
      </c>
      <c r="F79">
        <f>8.24-0.35-0.6-0.35</f>
        <v>6.9400000000000013</v>
      </c>
      <c r="G79">
        <v>0.6</v>
      </c>
      <c r="H79" s="1">
        <v>0.8</v>
      </c>
      <c r="I79" s="1"/>
      <c r="J79" s="1">
        <f t="shared" si="5"/>
        <v>4.1640000000000006</v>
      </c>
      <c r="K79" s="1">
        <v>2.57</v>
      </c>
      <c r="L79" s="1">
        <f>Tabela_Belki_0[[#This Row],[hd]]+Tabela_Belki_0[[#This Row],[h '[m']]]</f>
        <v>3.37</v>
      </c>
      <c r="M79" s="1">
        <f>Tabela_Belki_0[[#This Row],[h '[m']]]*Tabela_Belki_0[[#This Row],[A '[m2']]]</f>
        <v>3.3312000000000008</v>
      </c>
      <c r="N79" s="1">
        <f>PRODUCT(Tabela_Belki_0[[#This Row],[Szt.]],Tabela_Belki_0[[#This Row],[Vj '[m3']]])</f>
        <v>3.3312000000000008</v>
      </c>
      <c r="O79" s="1"/>
    </row>
    <row r="80" spans="2:15" x14ac:dyDescent="0.3">
      <c r="B80" t="s">
        <v>140</v>
      </c>
      <c r="C80" t="s">
        <v>169</v>
      </c>
      <c r="D80">
        <v>1</v>
      </c>
      <c r="E80" t="s">
        <v>344</v>
      </c>
      <c r="F80">
        <v>4.07</v>
      </c>
      <c r="G80">
        <v>0.6</v>
      </c>
      <c r="H80" s="1">
        <v>1.04</v>
      </c>
      <c r="I80" s="1"/>
      <c r="J80" s="1">
        <f t="shared" si="5"/>
        <v>2.4420000000000002</v>
      </c>
      <c r="K80" s="1">
        <v>2.33</v>
      </c>
      <c r="L80" s="1">
        <f>Tabela_Belki_0[[#This Row],[hd]]+Tabela_Belki_0[[#This Row],[h '[m']]]</f>
        <v>3.37</v>
      </c>
      <c r="M80" s="1">
        <f>Tabela_Belki_0[[#This Row],[h '[m']]]*Tabela_Belki_0[[#This Row],[A '[m2']]]</f>
        <v>2.5396800000000002</v>
      </c>
      <c r="N80" s="1">
        <f>PRODUCT(Tabela_Belki_0[[#This Row],[Szt.]],Tabela_Belki_0[[#This Row],[Vj '[m3']]])</f>
        <v>2.5396800000000002</v>
      </c>
      <c r="O80" s="1"/>
    </row>
    <row r="81" spans="2:15" x14ac:dyDescent="0.3">
      <c r="B81" t="s">
        <v>140</v>
      </c>
      <c r="C81" t="s">
        <v>169</v>
      </c>
      <c r="D81">
        <v>1</v>
      </c>
      <c r="E81" t="s">
        <v>345</v>
      </c>
      <c r="F81">
        <f>1.43-0.35</f>
        <v>1.08</v>
      </c>
      <c r="G81">
        <v>0.6</v>
      </c>
      <c r="H81" s="1">
        <v>0.65</v>
      </c>
      <c r="I81" s="1" t="s">
        <v>130</v>
      </c>
      <c r="J81" s="1">
        <f t="shared" si="5"/>
        <v>0.64800000000000002</v>
      </c>
      <c r="K81" s="1">
        <v>2.33</v>
      </c>
      <c r="L81" s="1">
        <f>Tabela_Belki_0[[#This Row],[hd]]+Tabela_Belki_0[[#This Row],[h '[m']]]</f>
        <v>2.98</v>
      </c>
      <c r="M81" s="1">
        <f>Tabela_Belki_0[[#This Row],[h '[m']]]*Tabela_Belki_0[[#This Row],[A '[m2']]]</f>
        <v>0.42120000000000002</v>
      </c>
      <c r="N81" s="1">
        <f>PRODUCT(Tabela_Belki_0[[#This Row],[Szt.]],Tabela_Belki_0[[#This Row],[Vj '[m3']]])</f>
        <v>0.42120000000000002</v>
      </c>
      <c r="O81" s="1"/>
    </row>
    <row r="82" spans="2:15" x14ac:dyDescent="0.3">
      <c r="B82" t="s">
        <v>140</v>
      </c>
      <c r="C82" t="s">
        <v>169</v>
      </c>
      <c r="D82">
        <v>1</v>
      </c>
      <c r="E82" t="s">
        <v>131</v>
      </c>
      <c r="F82">
        <v>1.6850000000000001</v>
      </c>
      <c r="G82">
        <v>0.35</v>
      </c>
      <c r="H82" s="1">
        <v>0.8</v>
      </c>
      <c r="I82" s="1"/>
      <c r="J82" s="1">
        <f t="shared" si="5"/>
        <v>0.58975</v>
      </c>
      <c r="K82" s="1">
        <v>2.57</v>
      </c>
      <c r="L82" s="1">
        <f>Tabela_Belki_0[[#This Row],[hd]]+Tabela_Belki_0[[#This Row],[h '[m']]]</f>
        <v>3.37</v>
      </c>
      <c r="M82" s="1">
        <f>Tabela_Belki_0[[#This Row],[h '[m']]]*Tabela_Belki_0[[#This Row],[A '[m2']]]</f>
        <v>0.4718</v>
      </c>
      <c r="N82" s="1">
        <f>PRODUCT(Tabela_Belki_0[[#This Row],[Szt.]],Tabela_Belki_0[[#This Row],[Vj '[m3']]])</f>
        <v>0.4718</v>
      </c>
      <c r="O82" s="1"/>
    </row>
    <row r="83" spans="2:15" x14ac:dyDescent="0.3">
      <c r="B83" t="s">
        <v>140</v>
      </c>
      <c r="C83" t="s">
        <v>169</v>
      </c>
      <c r="D83">
        <v>1</v>
      </c>
      <c r="E83" t="s">
        <v>132</v>
      </c>
      <c r="F83">
        <f>0.8-0.35</f>
        <v>0.45000000000000007</v>
      </c>
      <c r="G83">
        <v>0.35</v>
      </c>
      <c r="H83" s="1">
        <v>0.8</v>
      </c>
      <c r="I83" s="1"/>
      <c r="J83" s="1">
        <f t="shared" ref="J83" si="7">PRODUCT(F83:G83)</f>
        <v>0.1575</v>
      </c>
      <c r="K83" s="1">
        <v>2.57</v>
      </c>
      <c r="L83" s="1">
        <f>Tabela_Belki_0[[#This Row],[hd]]+Tabela_Belki_0[[#This Row],[h '[m']]]</f>
        <v>3.37</v>
      </c>
      <c r="M83" s="1">
        <f>Tabela_Belki_0[[#This Row],[h '[m']]]*Tabela_Belki_0[[#This Row],[A '[m2']]]</f>
        <v>0.126</v>
      </c>
      <c r="N83" s="1">
        <f>PRODUCT(Tabela_Belki_0[[#This Row],[Szt.]],Tabela_Belki_0[[#This Row],[Vj '[m3']]])</f>
        <v>0.126</v>
      </c>
      <c r="O83" s="1"/>
    </row>
    <row r="84" spans="2:15" x14ac:dyDescent="0.3">
      <c r="B84" t="s">
        <v>145</v>
      </c>
      <c r="C84" t="s">
        <v>169</v>
      </c>
      <c r="E84" t="s">
        <v>133</v>
      </c>
      <c r="F84">
        <f>4.985-0.22-0.35-0.39</f>
        <v>4.0250000000000012</v>
      </c>
      <c r="G84">
        <v>0.18</v>
      </c>
      <c r="H84" s="1">
        <v>0.97</v>
      </c>
      <c r="I84" s="1"/>
      <c r="J84" s="1">
        <f t="shared" si="5"/>
        <v>0.72450000000000014</v>
      </c>
      <c r="K84" s="1">
        <v>2.4</v>
      </c>
      <c r="L84" s="1">
        <f>Tabela_Belki_0[[#This Row],[hd]]+Tabela_Belki_0[[#This Row],[h '[m']]]</f>
        <v>3.37</v>
      </c>
      <c r="M84" s="1">
        <f>Tabela_Belki_0[[#This Row],[h '[m']]]*Tabela_Belki_0[[#This Row],[A '[m2']]]</f>
        <v>0.70276500000000008</v>
      </c>
      <c r="N84" s="1">
        <f>PRODUCT(Tabela_Belki_0[[#This Row],[Szt.]],Tabela_Belki_0[[#This Row],[Vj '[m3']]])</f>
        <v>0.70276500000000008</v>
      </c>
      <c r="O84" s="1"/>
    </row>
    <row r="85" spans="2:15" x14ac:dyDescent="0.3">
      <c r="B85" t="s">
        <v>145</v>
      </c>
      <c r="C85" t="s">
        <v>169</v>
      </c>
      <c r="E85" t="s">
        <v>134</v>
      </c>
      <c r="F85">
        <f>5.35-0.18-0.18</f>
        <v>4.99</v>
      </c>
      <c r="G85">
        <v>0.18</v>
      </c>
      <c r="H85" s="1">
        <v>1.07</v>
      </c>
      <c r="I85" s="1"/>
      <c r="J85" s="1">
        <f t="shared" ref="J85" si="8">PRODUCT(F85:G85)</f>
        <v>0.8982</v>
      </c>
      <c r="K85" s="1">
        <v>2.2999999999999998</v>
      </c>
      <c r="L85" s="1">
        <f>Tabela_Belki_0[[#This Row],[hd]]+Tabela_Belki_0[[#This Row],[h '[m']]]</f>
        <v>3.37</v>
      </c>
      <c r="M85" s="1">
        <f>Tabela_Belki_0[[#This Row],[h '[m']]]*Tabela_Belki_0[[#This Row],[A '[m2']]]</f>
        <v>0.96107400000000009</v>
      </c>
      <c r="N85" s="1">
        <f>PRODUCT(Tabela_Belki_0[[#This Row],[Szt.]],Tabela_Belki_0[[#This Row],[Vj '[m3']]])</f>
        <v>0.96107400000000009</v>
      </c>
      <c r="O85" s="1"/>
    </row>
    <row r="86" spans="2:15" x14ac:dyDescent="0.3">
      <c r="B86" t="s">
        <v>146</v>
      </c>
      <c r="C86" t="s">
        <v>169</v>
      </c>
      <c r="D86">
        <v>3</v>
      </c>
      <c r="E86" t="s">
        <v>317</v>
      </c>
      <c r="F86">
        <v>1.56</v>
      </c>
      <c r="G86">
        <v>0.18</v>
      </c>
      <c r="H86" s="1">
        <v>0.68</v>
      </c>
      <c r="I86" s="1"/>
      <c r="J86" s="1">
        <f t="shared" ref="J86" si="9">PRODUCT(F86:G86)</f>
        <v>0.28079999999999999</v>
      </c>
      <c r="K86" s="1">
        <v>2.4</v>
      </c>
      <c r="L86" s="1">
        <f>Tabela_Belki_0[[#This Row],[hd]]+Tabela_Belki_0[[#This Row],[h '[m']]]</f>
        <v>3.08</v>
      </c>
      <c r="M86" s="1">
        <f>Tabela_Belki_0[[#This Row],[h '[m']]]*Tabela_Belki_0[[#This Row],[A '[m2']]]</f>
        <v>0.190944</v>
      </c>
      <c r="N86" s="1">
        <f>PRODUCT(Tabela_Belki_0[[#This Row],[Szt.]],Tabela_Belki_0[[#This Row],[Vj '[m3']]])</f>
        <v>0.57283200000000001</v>
      </c>
      <c r="O86" s="1"/>
    </row>
    <row r="87" spans="2:15" x14ac:dyDescent="0.3">
      <c r="B87" t="s">
        <v>146</v>
      </c>
      <c r="C87" t="s">
        <v>169</v>
      </c>
      <c r="D87">
        <v>3</v>
      </c>
      <c r="E87" t="s">
        <v>318</v>
      </c>
      <c r="F87">
        <v>2.2650000000000001</v>
      </c>
      <c r="G87">
        <v>0.18</v>
      </c>
      <c r="H87" s="1">
        <v>0.68</v>
      </c>
      <c r="I87" s="1"/>
      <c r="J87" s="1">
        <f t="shared" ref="J87" si="10">PRODUCT(F87:G87)</f>
        <v>0.40770000000000001</v>
      </c>
      <c r="K87" s="1">
        <v>2.4</v>
      </c>
      <c r="L87" s="1">
        <f>Tabela_Belki_0[[#This Row],[hd]]+Tabela_Belki_0[[#This Row],[h '[m']]]</f>
        <v>3.08</v>
      </c>
      <c r="M87" s="1">
        <f>Tabela_Belki_0[[#This Row],[h '[m']]]*Tabela_Belki_0[[#This Row],[A '[m2']]]</f>
        <v>0.27723600000000004</v>
      </c>
      <c r="N87" s="1">
        <f>PRODUCT(Tabela_Belki_0[[#This Row],[Szt.]],Tabela_Belki_0[[#This Row],[Vj '[m3']]])</f>
        <v>0.83170800000000011</v>
      </c>
      <c r="O87" s="1"/>
    </row>
    <row r="88" spans="2:15" x14ac:dyDescent="0.3">
      <c r="B88" t="s">
        <v>140</v>
      </c>
      <c r="C88" t="s">
        <v>169</v>
      </c>
      <c r="D88">
        <v>4</v>
      </c>
      <c r="E88" t="s">
        <v>319</v>
      </c>
      <c r="F88">
        <v>2.48</v>
      </c>
      <c r="G88">
        <v>0.35</v>
      </c>
      <c r="H88" s="1">
        <v>0.8</v>
      </c>
      <c r="I88" s="1"/>
      <c r="J88" s="1">
        <f t="shared" ref="J88" si="11">PRODUCT(F88:G88)</f>
        <v>0.86799999999999999</v>
      </c>
      <c r="K88" s="1">
        <v>2.57</v>
      </c>
      <c r="L88" s="1">
        <f>Tabela_Belki_0[[#This Row],[hd]]+Tabela_Belki_0[[#This Row],[h '[m']]]</f>
        <v>3.37</v>
      </c>
      <c r="M88" s="1">
        <f>Tabela_Belki_0[[#This Row],[h '[m']]]*Tabela_Belki_0[[#This Row],[A '[m2']]]</f>
        <v>0.69440000000000002</v>
      </c>
      <c r="N88" s="1">
        <f>PRODUCT(Tabela_Belki_0[[#This Row],[Szt.]],Tabela_Belki_0[[#This Row],[Vj '[m3']]])</f>
        <v>2.7776000000000001</v>
      </c>
      <c r="O88" s="1"/>
    </row>
    <row r="89" spans="2:15" x14ac:dyDescent="0.3">
      <c r="B89" t="s">
        <v>147</v>
      </c>
      <c r="C89" t="s">
        <v>169</v>
      </c>
      <c r="D89">
        <v>3</v>
      </c>
      <c r="E89" t="s">
        <v>320</v>
      </c>
      <c r="F89">
        <f>2.97-2*0.18</f>
        <v>2.6100000000000003</v>
      </c>
      <c r="G89">
        <v>0.36</v>
      </c>
      <c r="H89" s="1">
        <v>0.22</v>
      </c>
      <c r="I89" s="1"/>
      <c r="J89" s="1">
        <f t="shared" ref="J89" si="12">PRODUCT(F89:G89)</f>
        <v>0.9396000000000001</v>
      </c>
      <c r="K89" s="1"/>
      <c r="L89" s="1"/>
      <c r="M89" s="1">
        <f>Tabela_Belki_0[[#This Row],[h '[m']]]*Tabela_Belki_0[[#This Row],[A '[m2']]]</f>
        <v>0.20671200000000003</v>
      </c>
      <c r="N89" s="1">
        <f>PRODUCT(Tabela_Belki_0[[#This Row],[Szt.]],Tabela_Belki_0[[#This Row],[Vj '[m3']]])</f>
        <v>0.62013600000000013</v>
      </c>
      <c r="O89" s="1"/>
    </row>
    <row r="90" spans="2:15" x14ac:dyDescent="0.3">
      <c r="B90" t="s">
        <v>139</v>
      </c>
      <c r="C90" t="s">
        <v>169</v>
      </c>
      <c r="E90" t="s">
        <v>135</v>
      </c>
      <c r="F90">
        <v>70.599999999999994</v>
      </c>
      <c r="G90">
        <v>0.18</v>
      </c>
      <c r="H90" s="1">
        <v>0.28000000000000003</v>
      </c>
      <c r="I90" s="1"/>
      <c r="J90" s="1">
        <f t="shared" ref="J90:J92" si="13">PRODUCT(F90:G90)</f>
        <v>12.707999999999998</v>
      </c>
      <c r="K90" s="1">
        <v>2.7</v>
      </c>
      <c r="L90" s="1">
        <f>Tabela_Belki_0[[#This Row],[hd]]+Tabela_Belki_0[[#This Row],[h '[m']]]</f>
        <v>2.9800000000000004</v>
      </c>
      <c r="M90" s="1">
        <f>Tabela_Belki_0[[#This Row],[h '[m']]]*Tabela_Belki_0[[#This Row],[A '[m2']]]</f>
        <v>3.5582400000000001</v>
      </c>
      <c r="N90" s="1">
        <f>PRODUCT(Tabela_Belki_0[[#This Row],[Szt.]],Tabela_Belki_0[[#This Row],[Vj '[m3']]])</f>
        <v>3.5582400000000001</v>
      </c>
      <c r="O90" s="1"/>
    </row>
    <row r="91" spans="2:15" x14ac:dyDescent="0.3">
      <c r="B91" t="s">
        <v>139</v>
      </c>
      <c r="C91" t="s">
        <v>169</v>
      </c>
      <c r="E91" t="s">
        <v>136</v>
      </c>
      <c r="F91">
        <v>24.4</v>
      </c>
      <c r="G91">
        <v>0.35</v>
      </c>
      <c r="H91" s="1">
        <v>0</v>
      </c>
      <c r="I91" s="1" t="s">
        <v>150</v>
      </c>
      <c r="J91" s="1">
        <f t="shared" si="13"/>
        <v>8.5399999999999991</v>
      </c>
      <c r="K91" s="1">
        <v>3.02</v>
      </c>
      <c r="L91" s="1">
        <f>Tabela_Belki_0[[#This Row],[hd]]+Tabela_Belki_0[[#This Row],[h '[m']]]</f>
        <v>3.02</v>
      </c>
      <c r="M91" s="1">
        <f>Tabela_Belki_0[[#This Row],[h '[m']]]*Tabela_Belki_0[[#This Row],[A '[m2']]]</f>
        <v>0</v>
      </c>
      <c r="N91" s="1">
        <f>PRODUCT(Tabela_Belki_0[[#This Row],[Szt.]],Tabela_Belki_0[[#This Row],[Vj '[m3']]])</f>
        <v>0</v>
      </c>
      <c r="O91" s="1"/>
    </row>
    <row r="92" spans="2:15" x14ac:dyDescent="0.3">
      <c r="B92" t="s">
        <v>139</v>
      </c>
      <c r="C92" t="s">
        <v>169</v>
      </c>
      <c r="E92" t="s">
        <v>137</v>
      </c>
      <c r="F92">
        <v>12.16</v>
      </c>
      <c r="G92">
        <v>0.35</v>
      </c>
      <c r="H92" s="1">
        <v>0</v>
      </c>
      <c r="I92" s="1" t="s">
        <v>150</v>
      </c>
      <c r="J92" s="1">
        <f t="shared" si="13"/>
        <v>4.2559999999999993</v>
      </c>
      <c r="K92" s="1">
        <v>2.87</v>
      </c>
      <c r="L92" s="1">
        <f>Tabela_Belki_0[[#This Row],[hd]]+Tabela_Belki_0[[#This Row],[h '[m']]]</f>
        <v>2.87</v>
      </c>
      <c r="M92" s="1">
        <f>Tabela_Belki_0[[#This Row],[h '[m']]]*Tabela_Belki_0[[#This Row],[A '[m2']]]</f>
        <v>0</v>
      </c>
      <c r="N92" s="1">
        <f>PRODUCT(Tabela_Belki_0[[#This Row],[Szt.]],Tabela_Belki_0[[#This Row],[Vj '[m3']]])</f>
        <v>0</v>
      </c>
      <c r="O92" s="1"/>
    </row>
    <row r="93" spans="2:15" x14ac:dyDescent="0.3">
      <c r="B93" t="s">
        <v>144</v>
      </c>
      <c r="C93" t="s">
        <v>169</v>
      </c>
      <c r="E93" t="s">
        <v>138</v>
      </c>
      <c r="F93">
        <v>1.48</v>
      </c>
      <c r="G93">
        <v>0.18</v>
      </c>
      <c r="H93" s="1">
        <f>Tabela_Belki_0[[#This Row],[hg]]-Tabela_Belki_0[[#This Row],[hd]]</f>
        <v>0.48999999999999977</v>
      </c>
      <c r="I93" s="1"/>
      <c r="J93" s="1">
        <f t="shared" ref="J93" si="14">PRODUCT(F93:G93)</f>
        <v>0.26639999999999997</v>
      </c>
      <c r="K93" s="1">
        <v>2.4900000000000002</v>
      </c>
      <c r="L93" s="1">
        <v>2.98</v>
      </c>
      <c r="M93" s="1">
        <f>Tabela_Belki_0[[#This Row],[h '[m']]]*Tabela_Belki_0[[#This Row],[A '[m2']]]</f>
        <v>0.13053599999999993</v>
      </c>
      <c r="N93" s="1">
        <f>PRODUCT(Tabela_Belki_0[[#This Row],[Szt.]],Tabela_Belki_0[[#This Row],[Vj '[m3']]])</f>
        <v>0.13053599999999993</v>
      </c>
      <c r="O93" s="1"/>
    </row>
    <row r="94" spans="2:15" x14ac:dyDescent="0.3">
      <c r="B94" t="s">
        <v>144</v>
      </c>
      <c r="C94" t="s">
        <v>169</v>
      </c>
      <c r="E94" t="s">
        <v>141</v>
      </c>
      <c r="F94">
        <v>1.1200000000000001</v>
      </c>
      <c r="G94">
        <v>0.18</v>
      </c>
      <c r="H94" s="1">
        <f>Tabela_Belki_0[[#This Row],[hg]]-Tabela_Belki_0[[#This Row],[hd]]</f>
        <v>0.93000000000000016</v>
      </c>
      <c r="I94" s="1"/>
      <c r="J94" s="1">
        <f t="shared" ref="J94:J95" si="15">PRODUCT(F94:G94)</f>
        <v>0.2016</v>
      </c>
      <c r="K94" s="1">
        <v>2.0499999999999998</v>
      </c>
      <c r="L94" s="1">
        <v>2.98</v>
      </c>
      <c r="M94" s="1">
        <f>Tabela_Belki_0[[#This Row],[h '[m']]]*Tabela_Belki_0[[#This Row],[A '[m2']]]</f>
        <v>0.18748800000000004</v>
      </c>
      <c r="N94" s="1">
        <f>PRODUCT(Tabela_Belki_0[[#This Row],[Szt.]],Tabela_Belki_0[[#This Row],[Vj '[m3']]])</f>
        <v>0.18748800000000004</v>
      </c>
      <c r="O94" s="1"/>
    </row>
    <row r="95" spans="2:15" x14ac:dyDescent="0.3">
      <c r="B95" t="s">
        <v>144</v>
      </c>
      <c r="C95" t="s">
        <v>169</v>
      </c>
      <c r="E95" t="s">
        <v>142</v>
      </c>
      <c r="F95">
        <v>1</v>
      </c>
      <c r="G95">
        <v>0.18</v>
      </c>
      <c r="H95" s="1">
        <f>Tabela_Belki_0[[#This Row],[hg]]-Tabela_Belki_0[[#This Row],[hd]]</f>
        <v>1.27</v>
      </c>
      <c r="I95" s="1"/>
      <c r="J95" s="1">
        <f t="shared" si="15"/>
        <v>0.18</v>
      </c>
      <c r="K95" s="1">
        <v>2.1</v>
      </c>
      <c r="L95" s="1">
        <v>3.37</v>
      </c>
      <c r="M95" s="1">
        <f>Tabela_Belki_0[[#This Row],[h '[m']]]*Tabela_Belki_0[[#This Row],[A '[m2']]]</f>
        <v>0.2286</v>
      </c>
      <c r="N95" s="1">
        <f>PRODUCT(Tabela_Belki_0[[#This Row],[Szt.]],Tabela_Belki_0[[#This Row],[Vj '[m3']]])</f>
        <v>0.2286</v>
      </c>
      <c r="O95" s="1"/>
    </row>
    <row r="96" spans="2:15" x14ac:dyDescent="0.3">
      <c r="B96" t="s">
        <v>144</v>
      </c>
      <c r="C96" t="s">
        <v>169</v>
      </c>
      <c r="E96" t="s">
        <v>143</v>
      </c>
      <c r="F96">
        <v>1</v>
      </c>
      <c r="G96">
        <v>0.18</v>
      </c>
      <c r="H96" s="1">
        <f>Tabela_Belki_0[[#This Row],[hg]]-Tabela_Belki_0[[#This Row],[hd]]</f>
        <v>0.87999999999999989</v>
      </c>
      <c r="I96" s="1"/>
      <c r="J96" s="1">
        <f t="shared" ref="J96:J98" si="16">PRODUCT(F96:G96)</f>
        <v>0.18</v>
      </c>
      <c r="K96" s="1">
        <v>2.1</v>
      </c>
      <c r="L96" s="1">
        <v>2.98</v>
      </c>
      <c r="M96" s="1">
        <f>Tabela_Belki_0[[#This Row],[h '[m']]]*Tabela_Belki_0[[#This Row],[A '[m2']]]</f>
        <v>0.15839999999999999</v>
      </c>
      <c r="N96" s="1">
        <f>PRODUCT(Tabela_Belki_0[[#This Row],[Szt.]],Tabela_Belki_0[[#This Row],[Vj '[m3']]])</f>
        <v>0.15839999999999999</v>
      </c>
      <c r="O96" s="1"/>
    </row>
    <row r="97" spans="2:15" x14ac:dyDescent="0.3">
      <c r="B97" t="s">
        <v>144</v>
      </c>
      <c r="C97" t="s">
        <v>169</v>
      </c>
      <c r="E97" t="s">
        <v>138</v>
      </c>
      <c r="F97">
        <v>1</v>
      </c>
      <c r="G97">
        <v>0.18</v>
      </c>
      <c r="H97" s="1">
        <f>Tabela_Belki_0[[#This Row],[hg]]-Tabela_Belki_0[[#This Row],[hd]]</f>
        <v>1.27</v>
      </c>
      <c r="I97" s="1"/>
      <c r="J97" s="1">
        <f t="shared" si="16"/>
        <v>0.18</v>
      </c>
      <c r="K97" s="1">
        <v>2.1</v>
      </c>
      <c r="L97" s="1">
        <v>3.37</v>
      </c>
      <c r="M97" s="1">
        <f>Tabela_Belki_0[[#This Row],[h '[m']]]*Tabela_Belki_0[[#This Row],[A '[m2']]]</f>
        <v>0.2286</v>
      </c>
      <c r="N97" s="1">
        <f>PRODUCT(Tabela_Belki_0[[#This Row],[Szt.]],Tabela_Belki_0[[#This Row],[Vj '[m3']]])</f>
        <v>0.2286</v>
      </c>
      <c r="O97" s="1"/>
    </row>
    <row r="98" spans="2:15" x14ac:dyDescent="0.3">
      <c r="B98" t="s">
        <v>144</v>
      </c>
      <c r="C98" t="s">
        <v>169</v>
      </c>
      <c r="E98" t="s">
        <v>138</v>
      </c>
      <c r="F98">
        <v>1.1200000000000001</v>
      </c>
      <c r="G98">
        <v>0.18</v>
      </c>
      <c r="H98" s="1">
        <f>Tabela_Belki_0[[#This Row],[hg]]-Tabela_Belki_0[[#This Row],[hd]]</f>
        <v>1.27</v>
      </c>
      <c r="I98" s="1"/>
      <c r="J98" s="1">
        <f t="shared" si="16"/>
        <v>0.2016</v>
      </c>
      <c r="K98" s="1">
        <v>2.1</v>
      </c>
      <c r="L98" s="1">
        <v>3.37</v>
      </c>
      <c r="M98" s="1">
        <f>Tabela_Belki_0[[#This Row],[h '[m']]]*Tabela_Belki_0[[#This Row],[A '[m2']]]</f>
        <v>0.25603199999999998</v>
      </c>
      <c r="N98" s="1">
        <f>PRODUCT(Tabela_Belki_0[[#This Row],[Szt.]],Tabela_Belki_0[[#This Row],[Vj '[m3']]])</f>
        <v>0.25603199999999998</v>
      </c>
      <c r="O98" s="1"/>
    </row>
    <row r="99" spans="2:15" x14ac:dyDescent="0.3">
      <c r="B99" t="s">
        <v>144</v>
      </c>
      <c r="C99" t="s">
        <v>169</v>
      </c>
      <c r="E99" t="s">
        <v>138</v>
      </c>
      <c r="F99">
        <v>1.1100000000000001</v>
      </c>
      <c r="G99">
        <v>0.18</v>
      </c>
      <c r="H99" s="1">
        <f>Tabela_Belki_0[[#This Row],[hg]]-Tabela_Belki_0[[#This Row],[hd]]</f>
        <v>1.27</v>
      </c>
      <c r="I99" s="1"/>
      <c r="J99" s="1">
        <f t="shared" ref="J99" si="17">PRODUCT(F99:G99)</f>
        <v>0.19980000000000001</v>
      </c>
      <c r="K99" s="1">
        <v>2.1</v>
      </c>
      <c r="L99" s="1">
        <v>3.37</v>
      </c>
      <c r="M99" s="1">
        <f>Tabela_Belki_0[[#This Row],[h '[m']]]*Tabela_Belki_0[[#This Row],[A '[m2']]]</f>
        <v>0.25374600000000003</v>
      </c>
      <c r="N99" s="1">
        <f>PRODUCT(Tabela_Belki_0[[#This Row],[Szt.]],Tabela_Belki_0[[#This Row],[Vj '[m3']]])</f>
        <v>0.25374600000000003</v>
      </c>
      <c r="O99" s="1"/>
    </row>
    <row r="100" spans="2:15" x14ac:dyDescent="0.3">
      <c r="B100" t="s">
        <v>144</v>
      </c>
      <c r="C100" t="s">
        <v>169</v>
      </c>
      <c r="E100" t="s">
        <v>138</v>
      </c>
      <c r="F100">
        <v>1.5</v>
      </c>
      <c r="G100">
        <v>0.18</v>
      </c>
      <c r="H100" s="1">
        <f>Tabela_Belki_0[[#This Row],[hg]]-Tabela_Belki_0[[#This Row],[hd]]</f>
        <v>0.89000000000000012</v>
      </c>
      <c r="I100" s="1"/>
      <c r="J100" s="1">
        <f t="shared" ref="J100" si="18">PRODUCT(F100:G100)</f>
        <v>0.27</v>
      </c>
      <c r="K100" s="1">
        <v>2.48</v>
      </c>
      <c r="L100" s="1">
        <v>3.37</v>
      </c>
      <c r="M100" s="1">
        <f>Tabela_Belki_0[[#This Row],[h '[m']]]*Tabela_Belki_0[[#This Row],[A '[m2']]]</f>
        <v>0.24030000000000004</v>
      </c>
      <c r="N100" s="1">
        <f>PRODUCT(Tabela_Belki_0[[#This Row],[Szt.]],Tabela_Belki_0[[#This Row],[Vj '[m3']]])</f>
        <v>0.24030000000000004</v>
      </c>
      <c r="O100" s="1"/>
    </row>
    <row r="101" spans="2:15" x14ac:dyDescent="0.3">
      <c r="B101" t="s">
        <v>144</v>
      </c>
      <c r="C101" t="s">
        <v>169</v>
      </c>
      <c r="E101" t="s">
        <v>143</v>
      </c>
      <c r="F101">
        <v>1</v>
      </c>
      <c r="G101">
        <v>0.18</v>
      </c>
      <c r="H101" s="1">
        <f>Tabela_Belki_0[[#This Row],[hg]]-Tabela_Belki_0[[#This Row],[hd]]</f>
        <v>1.27</v>
      </c>
      <c r="I101" s="1"/>
      <c r="J101" s="1">
        <f t="shared" ref="J101:J104" si="19">PRODUCT(F101:G101)</f>
        <v>0.18</v>
      </c>
      <c r="K101" s="1">
        <v>2.1</v>
      </c>
      <c r="L101" s="1">
        <v>3.37</v>
      </c>
      <c r="M101" s="1">
        <f>Tabela_Belki_0[[#This Row],[h '[m']]]*Tabela_Belki_0[[#This Row],[A '[m2']]]</f>
        <v>0.2286</v>
      </c>
      <c r="N101" s="1">
        <f>PRODUCT(Tabela_Belki_0[[#This Row],[Szt.]],Tabela_Belki_0[[#This Row],[Vj '[m3']]])</f>
        <v>0.2286</v>
      </c>
      <c r="O101" s="1"/>
    </row>
    <row r="102" spans="2:15" x14ac:dyDescent="0.3">
      <c r="B102" t="s">
        <v>144</v>
      </c>
      <c r="C102" t="s">
        <v>169</v>
      </c>
      <c r="E102" t="s">
        <v>142</v>
      </c>
      <c r="F102">
        <v>1</v>
      </c>
      <c r="G102">
        <v>0.18</v>
      </c>
      <c r="H102" s="1">
        <f>Tabela_Belki_0[[#This Row],[hg]]-Tabela_Belki_0[[#This Row],[hd]]</f>
        <v>1.27</v>
      </c>
      <c r="I102" s="1"/>
      <c r="J102" s="1">
        <f t="shared" si="19"/>
        <v>0.18</v>
      </c>
      <c r="K102" s="1">
        <v>2.1</v>
      </c>
      <c r="L102" s="1">
        <v>3.37</v>
      </c>
      <c r="M102" s="1">
        <f>Tabela_Belki_0[[#This Row],[h '[m']]]*Tabela_Belki_0[[#This Row],[A '[m2']]]</f>
        <v>0.2286</v>
      </c>
      <c r="N102" s="1">
        <f>PRODUCT(Tabela_Belki_0[[#This Row],[Szt.]],Tabela_Belki_0[[#This Row],[Vj '[m3']]])</f>
        <v>0.2286</v>
      </c>
      <c r="O102" s="1"/>
    </row>
    <row r="103" spans="2:15" x14ac:dyDescent="0.3">
      <c r="B103" t="s">
        <v>144</v>
      </c>
      <c r="C103" t="s">
        <v>169</v>
      </c>
      <c r="E103" t="s">
        <v>138</v>
      </c>
      <c r="F103">
        <v>1.1499999999999999</v>
      </c>
      <c r="G103">
        <v>0.18</v>
      </c>
      <c r="H103" s="1">
        <f>Tabela_Belki_0[[#This Row],[hg]]-Tabela_Belki_0[[#This Row],[hd]]</f>
        <v>1.27</v>
      </c>
      <c r="I103" s="1"/>
      <c r="J103" s="1">
        <f t="shared" si="19"/>
        <v>0.20699999999999999</v>
      </c>
      <c r="K103" s="1">
        <v>2.1</v>
      </c>
      <c r="L103" s="1">
        <v>3.37</v>
      </c>
      <c r="M103" s="1">
        <f>Tabela_Belki_0[[#This Row],[h '[m']]]*Tabela_Belki_0[[#This Row],[A '[m2']]]</f>
        <v>0.26289000000000001</v>
      </c>
      <c r="N103" s="1">
        <f>PRODUCT(Tabela_Belki_0[[#This Row],[Szt.]],Tabela_Belki_0[[#This Row],[Vj '[m3']]])</f>
        <v>0.26289000000000001</v>
      </c>
      <c r="O103" s="1"/>
    </row>
    <row r="104" spans="2:15" x14ac:dyDescent="0.3">
      <c r="B104" t="s">
        <v>144</v>
      </c>
      <c r="C104" t="s">
        <v>169</v>
      </c>
      <c r="E104" t="s">
        <v>138</v>
      </c>
      <c r="F104">
        <v>1.1499999999999999</v>
      </c>
      <c r="G104">
        <v>0.18</v>
      </c>
      <c r="H104" s="1">
        <f>Tabela_Belki_0[[#This Row],[hg]]-Tabela_Belki_0[[#This Row],[hd]]</f>
        <v>1.27</v>
      </c>
      <c r="I104" s="1"/>
      <c r="J104" s="1">
        <f t="shared" si="19"/>
        <v>0.20699999999999999</v>
      </c>
      <c r="K104" s="1">
        <v>2.1</v>
      </c>
      <c r="L104" s="1">
        <v>3.37</v>
      </c>
      <c r="M104" s="1">
        <f>Tabela_Belki_0[[#This Row],[h '[m']]]*Tabela_Belki_0[[#This Row],[A '[m2']]]</f>
        <v>0.26289000000000001</v>
      </c>
      <c r="N104" s="1">
        <f>PRODUCT(Tabela_Belki_0[[#This Row],[Szt.]],Tabela_Belki_0[[#This Row],[Vj '[m3']]])</f>
        <v>0.26289000000000001</v>
      </c>
      <c r="O104" s="1"/>
    </row>
    <row r="105" spans="2:15" x14ac:dyDescent="0.3">
      <c r="B105" t="s">
        <v>144</v>
      </c>
      <c r="C105" t="s">
        <v>169</v>
      </c>
      <c r="E105" t="s">
        <v>138</v>
      </c>
      <c r="F105">
        <v>1.1499999999999999</v>
      </c>
      <c r="G105">
        <v>0.18</v>
      </c>
      <c r="H105" s="1">
        <f>Tabela_Belki_0[[#This Row],[hg]]-Tabela_Belki_0[[#This Row],[hd]]</f>
        <v>1.27</v>
      </c>
      <c r="I105" s="1"/>
      <c r="J105" s="1">
        <f t="shared" ref="J105" si="20">PRODUCT(F105:G105)</f>
        <v>0.20699999999999999</v>
      </c>
      <c r="K105" s="1">
        <v>2.1</v>
      </c>
      <c r="L105" s="1">
        <v>3.37</v>
      </c>
      <c r="M105" s="1">
        <f>Tabela_Belki_0[[#This Row],[h '[m']]]*Tabela_Belki_0[[#This Row],[A '[m2']]]</f>
        <v>0.26289000000000001</v>
      </c>
      <c r="N105" s="1">
        <f>PRODUCT(Tabela_Belki_0[[#This Row],[Szt.]],Tabela_Belki_0[[#This Row],[Vj '[m3']]])</f>
        <v>0.26289000000000001</v>
      </c>
      <c r="O105" s="1"/>
    </row>
    <row r="109" spans="2:15" x14ac:dyDescent="0.3">
      <c r="C109" s="2" t="s">
        <v>67</v>
      </c>
      <c r="D109" t="s">
        <v>255</v>
      </c>
      <c r="E109" t="s">
        <v>322</v>
      </c>
      <c r="F109" t="s">
        <v>69</v>
      </c>
    </row>
    <row r="110" spans="2:15" x14ac:dyDescent="0.3">
      <c r="C110" s="3" t="s">
        <v>140</v>
      </c>
      <c r="D110">
        <v>87</v>
      </c>
      <c r="E110" s="11">
        <v>165.02332250000003</v>
      </c>
      <c r="F110" s="11">
        <v>178.76960249999996</v>
      </c>
    </row>
    <row r="111" spans="2:15" x14ac:dyDescent="0.3">
      <c r="C111" s="4" t="s">
        <v>131</v>
      </c>
      <c r="D111">
        <v>1</v>
      </c>
      <c r="E111" s="11">
        <v>0.4718</v>
      </c>
      <c r="F111" s="11">
        <v>0.4718</v>
      </c>
    </row>
    <row r="112" spans="2:15" x14ac:dyDescent="0.3">
      <c r="C112" s="4" t="s">
        <v>132</v>
      </c>
      <c r="D112">
        <v>1</v>
      </c>
      <c r="E112" s="11">
        <v>0.126</v>
      </c>
      <c r="F112" s="11">
        <v>0.126</v>
      </c>
    </row>
    <row r="113" spans="3:6" x14ac:dyDescent="0.3">
      <c r="C113" s="4" t="s">
        <v>323</v>
      </c>
      <c r="D113">
        <v>1</v>
      </c>
      <c r="E113" s="11">
        <v>4.2768000000000006</v>
      </c>
      <c r="F113" s="11">
        <v>4.2768000000000006</v>
      </c>
    </row>
    <row r="114" spans="3:6" x14ac:dyDescent="0.3">
      <c r="C114" s="4" t="s">
        <v>324</v>
      </c>
      <c r="D114">
        <v>1</v>
      </c>
      <c r="E114" s="11">
        <v>0.55841999999999992</v>
      </c>
      <c r="F114" s="11">
        <v>0.55841999999999992</v>
      </c>
    </row>
    <row r="115" spans="3:6" x14ac:dyDescent="0.3">
      <c r="C115" s="4" t="s">
        <v>98</v>
      </c>
      <c r="D115">
        <v>1</v>
      </c>
      <c r="E115" s="11">
        <v>5.071200000000001</v>
      </c>
      <c r="F115" s="11">
        <v>5.071200000000001</v>
      </c>
    </row>
    <row r="116" spans="3:6" x14ac:dyDescent="0.3">
      <c r="C116" s="4" t="s">
        <v>99</v>
      </c>
      <c r="D116">
        <v>1</v>
      </c>
      <c r="E116" s="11">
        <v>5.071200000000001</v>
      </c>
      <c r="F116" s="11">
        <v>5.071200000000001</v>
      </c>
    </row>
    <row r="117" spans="3:6" x14ac:dyDescent="0.3">
      <c r="C117" s="4" t="s">
        <v>100</v>
      </c>
      <c r="D117">
        <v>1</v>
      </c>
      <c r="E117" s="11">
        <v>5.829600000000001</v>
      </c>
      <c r="F117" s="11">
        <v>5.829600000000001</v>
      </c>
    </row>
    <row r="118" spans="3:6" x14ac:dyDescent="0.3">
      <c r="C118" s="4" t="s">
        <v>343</v>
      </c>
      <c r="D118">
        <v>1</v>
      </c>
      <c r="E118" s="11">
        <v>3.3312000000000008</v>
      </c>
      <c r="F118" s="11">
        <v>3.3312000000000008</v>
      </c>
    </row>
    <row r="119" spans="3:6" x14ac:dyDescent="0.3">
      <c r="C119" s="4" t="s">
        <v>344</v>
      </c>
      <c r="D119">
        <v>1</v>
      </c>
      <c r="E119" s="11">
        <v>2.5396800000000002</v>
      </c>
      <c r="F119" s="11">
        <v>2.5396800000000002</v>
      </c>
    </row>
    <row r="120" spans="3:6" x14ac:dyDescent="0.3">
      <c r="C120" s="4" t="s">
        <v>345</v>
      </c>
      <c r="D120">
        <v>1</v>
      </c>
      <c r="E120" s="11">
        <v>0.42120000000000002</v>
      </c>
      <c r="F120" s="11">
        <v>0.42120000000000002</v>
      </c>
    </row>
    <row r="121" spans="3:6" x14ac:dyDescent="0.3">
      <c r="C121" s="4" t="s">
        <v>325</v>
      </c>
      <c r="D121">
        <v>2</v>
      </c>
      <c r="E121" s="11">
        <v>3.2983999999999996</v>
      </c>
      <c r="F121" s="11">
        <v>6.5967999999999991</v>
      </c>
    </row>
    <row r="122" spans="3:6" x14ac:dyDescent="0.3">
      <c r="C122" s="4" t="s">
        <v>326</v>
      </c>
      <c r="D122">
        <v>2</v>
      </c>
      <c r="E122" s="11">
        <v>2.5396800000000002</v>
      </c>
      <c r="F122" s="11">
        <v>5.0793600000000003</v>
      </c>
    </row>
    <row r="123" spans="3:6" x14ac:dyDescent="0.3">
      <c r="C123" s="4" t="s">
        <v>327</v>
      </c>
      <c r="D123">
        <v>2</v>
      </c>
      <c r="E123" s="11">
        <v>2.6441999999999997</v>
      </c>
      <c r="F123" s="11">
        <v>5.2883999999999993</v>
      </c>
    </row>
    <row r="124" spans="3:6" x14ac:dyDescent="0.3">
      <c r="C124" s="4" t="s">
        <v>321</v>
      </c>
      <c r="D124">
        <v>2</v>
      </c>
      <c r="E124" s="11">
        <v>1.6379999999999999</v>
      </c>
      <c r="F124" s="11">
        <v>3.2759999999999998</v>
      </c>
    </row>
    <row r="125" spans="3:6" x14ac:dyDescent="0.3">
      <c r="C125" s="4" t="s">
        <v>328</v>
      </c>
      <c r="D125">
        <v>1</v>
      </c>
      <c r="E125" s="11">
        <v>1.5413999999999999</v>
      </c>
      <c r="F125" s="11">
        <v>1.5413999999999999</v>
      </c>
    </row>
    <row r="126" spans="3:6" x14ac:dyDescent="0.3">
      <c r="C126" s="4" t="s">
        <v>329</v>
      </c>
      <c r="D126">
        <v>1</v>
      </c>
      <c r="E126" s="11">
        <v>2.5776000000000003</v>
      </c>
      <c r="F126" s="11">
        <v>2.5776000000000003</v>
      </c>
    </row>
    <row r="127" spans="3:6" x14ac:dyDescent="0.3">
      <c r="C127" s="4" t="s">
        <v>102</v>
      </c>
      <c r="D127">
        <v>1</v>
      </c>
      <c r="E127" s="11">
        <v>1.5022000000000002</v>
      </c>
      <c r="F127" s="11">
        <v>1.5022000000000002</v>
      </c>
    </row>
    <row r="128" spans="3:6" x14ac:dyDescent="0.3">
      <c r="C128" s="4" t="s">
        <v>103</v>
      </c>
      <c r="D128">
        <v>1</v>
      </c>
      <c r="E128" s="11">
        <v>1.6295999999999999</v>
      </c>
      <c r="F128" s="11">
        <v>1.6295999999999999</v>
      </c>
    </row>
    <row r="129" spans="3:6" x14ac:dyDescent="0.3">
      <c r="C129" s="4" t="s">
        <v>104</v>
      </c>
      <c r="D129">
        <v>1</v>
      </c>
      <c r="E129" s="11">
        <v>1.3090000000000002</v>
      </c>
      <c r="F129" s="11">
        <v>1.3090000000000002</v>
      </c>
    </row>
    <row r="130" spans="3:6" x14ac:dyDescent="0.3">
      <c r="C130" s="4" t="s">
        <v>105</v>
      </c>
      <c r="D130">
        <v>1</v>
      </c>
      <c r="E130" s="11">
        <v>1.2124000000000004</v>
      </c>
      <c r="F130" s="11">
        <v>1.2124000000000004</v>
      </c>
    </row>
    <row r="131" spans="3:6" x14ac:dyDescent="0.3">
      <c r="C131" s="4" t="s">
        <v>106</v>
      </c>
      <c r="D131">
        <v>1</v>
      </c>
      <c r="E131" s="11">
        <v>2.0580000000000003</v>
      </c>
      <c r="F131" s="11">
        <v>2.0580000000000003</v>
      </c>
    </row>
    <row r="132" spans="3:6" x14ac:dyDescent="0.3">
      <c r="C132" s="4" t="s">
        <v>107</v>
      </c>
      <c r="D132">
        <v>1</v>
      </c>
      <c r="E132" s="11">
        <v>1.2628000000000004</v>
      </c>
      <c r="F132" s="11">
        <v>1.2628000000000004</v>
      </c>
    </row>
    <row r="133" spans="3:6" x14ac:dyDescent="0.3">
      <c r="C133" s="4" t="s">
        <v>108</v>
      </c>
      <c r="D133">
        <v>1</v>
      </c>
      <c r="E133" s="11">
        <v>0.34999999999999992</v>
      </c>
      <c r="F133" s="11">
        <v>0.34999999999999992</v>
      </c>
    </row>
    <row r="134" spans="3:6" x14ac:dyDescent="0.3">
      <c r="C134" s="4" t="s">
        <v>330</v>
      </c>
      <c r="D134">
        <v>1</v>
      </c>
      <c r="E134" s="11">
        <v>1.3286</v>
      </c>
      <c r="F134" s="11">
        <v>1.3286</v>
      </c>
    </row>
    <row r="135" spans="3:6" x14ac:dyDescent="0.3">
      <c r="C135" s="4" t="s">
        <v>331</v>
      </c>
      <c r="D135">
        <v>1</v>
      </c>
      <c r="E135" s="11">
        <v>1.6307200000000002</v>
      </c>
      <c r="F135" s="11">
        <v>1.6307200000000002</v>
      </c>
    </row>
    <row r="136" spans="3:6" x14ac:dyDescent="0.3">
      <c r="C136" s="4" t="s">
        <v>332</v>
      </c>
      <c r="D136">
        <v>1</v>
      </c>
      <c r="E136" s="11">
        <v>0.26949999999999996</v>
      </c>
      <c r="F136" s="11">
        <v>0.26949999999999996</v>
      </c>
    </row>
    <row r="137" spans="3:6" x14ac:dyDescent="0.3">
      <c r="C137" s="4" t="s">
        <v>333</v>
      </c>
      <c r="D137">
        <v>1</v>
      </c>
      <c r="E137" s="11">
        <v>0.89599999999999991</v>
      </c>
      <c r="F137" s="11">
        <v>0.89599999999999991</v>
      </c>
    </row>
    <row r="138" spans="3:6" x14ac:dyDescent="0.3">
      <c r="C138" s="4" t="s">
        <v>334</v>
      </c>
      <c r="D138">
        <v>1</v>
      </c>
      <c r="E138" s="11">
        <v>1.2876500000000002</v>
      </c>
      <c r="F138" s="11">
        <v>1.2876500000000002</v>
      </c>
    </row>
    <row r="139" spans="3:6" x14ac:dyDescent="0.3">
      <c r="C139" s="4" t="s">
        <v>335</v>
      </c>
      <c r="D139">
        <v>1</v>
      </c>
      <c r="E139" s="11">
        <v>1.6307200000000002</v>
      </c>
      <c r="F139" s="11">
        <v>1.6307200000000002</v>
      </c>
    </row>
    <row r="140" spans="3:6" x14ac:dyDescent="0.3">
      <c r="C140" s="4" t="s">
        <v>336</v>
      </c>
      <c r="D140">
        <v>1</v>
      </c>
      <c r="E140" s="11">
        <v>0.26949999999999996</v>
      </c>
      <c r="F140" s="11">
        <v>0.26949999999999996</v>
      </c>
    </row>
    <row r="141" spans="3:6" x14ac:dyDescent="0.3">
      <c r="C141" s="4" t="s">
        <v>337</v>
      </c>
      <c r="D141">
        <v>1</v>
      </c>
      <c r="E141" s="11">
        <v>0.79800000000000004</v>
      </c>
      <c r="F141" s="11">
        <v>0.79800000000000004</v>
      </c>
    </row>
    <row r="142" spans="3:6" x14ac:dyDescent="0.3">
      <c r="C142" s="4" t="s">
        <v>109</v>
      </c>
      <c r="D142">
        <v>1</v>
      </c>
      <c r="E142" s="11">
        <v>1.526</v>
      </c>
      <c r="F142" s="11">
        <v>1.526</v>
      </c>
    </row>
    <row r="143" spans="3:6" x14ac:dyDescent="0.3">
      <c r="C143" s="4" t="s">
        <v>338</v>
      </c>
      <c r="D143">
        <v>1</v>
      </c>
      <c r="E143" s="11">
        <v>0.80080000000000007</v>
      </c>
      <c r="F143" s="11">
        <v>0.80080000000000007</v>
      </c>
    </row>
    <row r="144" spans="3:6" x14ac:dyDescent="0.3">
      <c r="C144" s="4" t="s">
        <v>339</v>
      </c>
      <c r="D144">
        <v>1</v>
      </c>
      <c r="E144" s="11">
        <v>0.12739999999999999</v>
      </c>
      <c r="F144" s="11">
        <v>0.12739999999999999</v>
      </c>
    </row>
    <row r="145" spans="3:6" x14ac:dyDescent="0.3">
      <c r="C145" s="4" t="s">
        <v>340</v>
      </c>
      <c r="D145">
        <v>1</v>
      </c>
      <c r="E145" s="11">
        <v>1.5876000000000001</v>
      </c>
      <c r="F145" s="11">
        <v>1.5876000000000001</v>
      </c>
    </row>
    <row r="146" spans="3:6" x14ac:dyDescent="0.3">
      <c r="C146" s="4" t="s">
        <v>341</v>
      </c>
      <c r="D146">
        <v>1</v>
      </c>
      <c r="E146" s="11">
        <v>0.26949999999999996</v>
      </c>
      <c r="F146" s="11">
        <v>0.26949999999999996</v>
      </c>
    </row>
    <row r="147" spans="3:6" x14ac:dyDescent="0.3">
      <c r="C147" s="4" t="s">
        <v>342</v>
      </c>
      <c r="D147">
        <v>1</v>
      </c>
      <c r="E147" s="11">
        <v>2.2232000000000003</v>
      </c>
      <c r="F147" s="11">
        <v>2.2232000000000003</v>
      </c>
    </row>
    <row r="148" spans="3:6" x14ac:dyDescent="0.3">
      <c r="C148" s="4" t="s">
        <v>110</v>
      </c>
      <c r="D148">
        <v>1</v>
      </c>
      <c r="E148" s="11">
        <v>1.526</v>
      </c>
      <c r="F148" s="11">
        <v>1.526</v>
      </c>
    </row>
    <row r="149" spans="3:6" x14ac:dyDescent="0.3">
      <c r="C149" s="4" t="s">
        <v>111</v>
      </c>
      <c r="D149">
        <v>1</v>
      </c>
      <c r="E149" s="11">
        <v>1.9945624999999998</v>
      </c>
      <c r="F149" s="11">
        <v>1.9945624999999998</v>
      </c>
    </row>
    <row r="150" spans="3:6" x14ac:dyDescent="0.3">
      <c r="C150" s="4" t="s">
        <v>112</v>
      </c>
      <c r="D150">
        <v>1</v>
      </c>
      <c r="E150" s="11">
        <v>3.6820000000000004</v>
      </c>
      <c r="F150" s="11">
        <v>3.6820000000000004</v>
      </c>
    </row>
    <row r="151" spans="3:6" x14ac:dyDescent="0.3">
      <c r="C151" s="4" t="s">
        <v>113</v>
      </c>
      <c r="D151">
        <v>1</v>
      </c>
      <c r="E151" s="11">
        <v>3.4951524999999997</v>
      </c>
      <c r="F151" s="11">
        <v>3.4951524999999997</v>
      </c>
    </row>
    <row r="152" spans="3:6" x14ac:dyDescent="0.3">
      <c r="C152" s="4" t="s">
        <v>362</v>
      </c>
      <c r="D152">
        <v>1</v>
      </c>
      <c r="E152" s="11">
        <v>2.2370399999999999</v>
      </c>
      <c r="F152" s="11">
        <v>2.2370399999999999</v>
      </c>
    </row>
    <row r="153" spans="3:6" x14ac:dyDescent="0.3">
      <c r="C153" s="4" t="s">
        <v>363</v>
      </c>
      <c r="D153">
        <v>1</v>
      </c>
      <c r="E153" s="11">
        <v>3.5471999999999997</v>
      </c>
      <c r="F153" s="11">
        <v>3.5471999999999997</v>
      </c>
    </row>
    <row r="154" spans="3:6" x14ac:dyDescent="0.3">
      <c r="C154" s="4" t="s">
        <v>97</v>
      </c>
      <c r="D154">
        <v>1</v>
      </c>
      <c r="E154" s="11">
        <v>2.8944000000000001</v>
      </c>
      <c r="F154" s="11">
        <v>2.8944000000000001</v>
      </c>
    </row>
    <row r="155" spans="3:6" x14ac:dyDescent="0.3">
      <c r="C155" s="4" t="s">
        <v>114</v>
      </c>
      <c r="D155">
        <v>1</v>
      </c>
      <c r="E155" s="11">
        <v>2.8344000000000005</v>
      </c>
      <c r="F155" s="11">
        <v>2.8344000000000005</v>
      </c>
    </row>
    <row r="156" spans="3:6" x14ac:dyDescent="0.3">
      <c r="C156" s="4" t="s">
        <v>96</v>
      </c>
      <c r="D156">
        <v>1</v>
      </c>
      <c r="E156" s="11">
        <v>3.0815999999999999</v>
      </c>
      <c r="F156" s="11">
        <v>3.0815999999999999</v>
      </c>
    </row>
    <row r="157" spans="3:6" x14ac:dyDescent="0.3">
      <c r="C157" s="4" t="s">
        <v>115</v>
      </c>
      <c r="D157">
        <v>1</v>
      </c>
      <c r="E157" s="11">
        <v>2.9190000000000005</v>
      </c>
      <c r="F157" s="11">
        <v>2.9190000000000005</v>
      </c>
    </row>
    <row r="158" spans="3:6" x14ac:dyDescent="0.3">
      <c r="C158" s="4" t="s">
        <v>359</v>
      </c>
      <c r="D158">
        <v>1</v>
      </c>
      <c r="E158" s="11">
        <v>2.9328000000000003</v>
      </c>
      <c r="F158" s="11">
        <v>2.9328000000000003</v>
      </c>
    </row>
    <row r="159" spans="3:6" x14ac:dyDescent="0.3">
      <c r="C159" s="4" t="s">
        <v>360</v>
      </c>
      <c r="D159">
        <v>1</v>
      </c>
      <c r="E159" s="11">
        <v>1.3859999999999999</v>
      </c>
      <c r="F159" s="11">
        <v>1.3859999999999999</v>
      </c>
    </row>
    <row r="160" spans="3:6" x14ac:dyDescent="0.3">
      <c r="C160" s="4" t="s">
        <v>361</v>
      </c>
      <c r="D160">
        <v>1</v>
      </c>
      <c r="E160" s="11">
        <v>6.0792000000000002</v>
      </c>
      <c r="F160" s="11">
        <v>6.0792000000000002</v>
      </c>
    </row>
    <row r="161" spans="3:6" x14ac:dyDescent="0.3">
      <c r="C161" s="4" t="s">
        <v>356</v>
      </c>
      <c r="D161">
        <v>1</v>
      </c>
      <c r="E161" s="11">
        <v>1.817725</v>
      </c>
      <c r="F161" s="11">
        <v>1.817725</v>
      </c>
    </row>
    <row r="162" spans="3:6" x14ac:dyDescent="0.3">
      <c r="C162" s="4" t="s">
        <v>357</v>
      </c>
      <c r="D162">
        <v>1</v>
      </c>
      <c r="E162" s="11">
        <v>1.3213200000000001</v>
      </c>
      <c r="F162" s="11">
        <v>1.3213200000000001</v>
      </c>
    </row>
    <row r="163" spans="3:6" x14ac:dyDescent="0.3">
      <c r="C163" s="4" t="s">
        <v>358</v>
      </c>
      <c r="D163">
        <v>1</v>
      </c>
      <c r="E163" s="11">
        <v>4.0949999999999998</v>
      </c>
      <c r="F163" s="11">
        <v>4.0949999999999998</v>
      </c>
    </row>
    <row r="164" spans="3:6" x14ac:dyDescent="0.3">
      <c r="C164" s="4" t="s">
        <v>116</v>
      </c>
      <c r="D164">
        <v>1</v>
      </c>
      <c r="E164" s="11">
        <v>3.4537999999999998</v>
      </c>
      <c r="F164" s="11">
        <v>3.4537999999999998</v>
      </c>
    </row>
    <row r="165" spans="3:6" x14ac:dyDescent="0.3">
      <c r="C165" s="4" t="s">
        <v>117</v>
      </c>
      <c r="D165">
        <v>1</v>
      </c>
      <c r="E165" s="11">
        <v>1.0360000000000003</v>
      </c>
      <c r="F165" s="11">
        <v>1.0360000000000003</v>
      </c>
    </row>
    <row r="166" spans="3:6" x14ac:dyDescent="0.3">
      <c r="C166" s="4" t="s">
        <v>118</v>
      </c>
      <c r="D166">
        <v>1</v>
      </c>
      <c r="E166" s="11">
        <v>3.5952000000000006</v>
      </c>
      <c r="F166" s="11">
        <v>3.5952000000000006</v>
      </c>
    </row>
    <row r="167" spans="3:6" x14ac:dyDescent="0.3">
      <c r="C167" s="4" t="s">
        <v>351</v>
      </c>
      <c r="D167">
        <v>1</v>
      </c>
      <c r="E167" s="11">
        <v>1.817725</v>
      </c>
      <c r="F167" s="11">
        <v>1.817725</v>
      </c>
    </row>
    <row r="168" spans="3:6" x14ac:dyDescent="0.3">
      <c r="C168" s="4" t="s">
        <v>352</v>
      </c>
      <c r="D168">
        <v>1</v>
      </c>
      <c r="E168" s="11">
        <v>1.32314</v>
      </c>
      <c r="F168" s="11">
        <v>1.32314</v>
      </c>
    </row>
    <row r="169" spans="3:6" x14ac:dyDescent="0.3">
      <c r="C169" s="4" t="s">
        <v>353</v>
      </c>
      <c r="D169">
        <v>1</v>
      </c>
      <c r="E169" s="11">
        <v>2.2203999999999997</v>
      </c>
      <c r="F169" s="11">
        <v>2.2203999999999997</v>
      </c>
    </row>
    <row r="170" spans="3:6" x14ac:dyDescent="0.3">
      <c r="C170" s="4" t="s">
        <v>354</v>
      </c>
      <c r="D170">
        <v>1</v>
      </c>
      <c r="E170" s="11">
        <v>0.86996000000000007</v>
      </c>
      <c r="F170" s="11">
        <v>0.86996000000000007</v>
      </c>
    </row>
    <row r="171" spans="3:6" x14ac:dyDescent="0.3">
      <c r="C171" s="4" t="s">
        <v>355</v>
      </c>
      <c r="D171">
        <v>1</v>
      </c>
      <c r="E171" s="11">
        <v>0.97824999999999995</v>
      </c>
      <c r="F171" s="11">
        <v>0.97824999999999995</v>
      </c>
    </row>
    <row r="172" spans="3:6" x14ac:dyDescent="0.3">
      <c r="C172" s="4" t="s">
        <v>119</v>
      </c>
      <c r="D172">
        <v>1</v>
      </c>
      <c r="E172" s="11">
        <v>0.5506375</v>
      </c>
      <c r="F172" s="11">
        <v>0.5506375</v>
      </c>
    </row>
    <row r="173" spans="3:6" x14ac:dyDescent="0.3">
      <c r="C173" s="4" t="s">
        <v>348</v>
      </c>
      <c r="D173">
        <v>1</v>
      </c>
      <c r="E173" s="11">
        <v>3.3883199999999998</v>
      </c>
      <c r="F173" s="11">
        <v>3.3883199999999998</v>
      </c>
    </row>
    <row r="174" spans="3:6" x14ac:dyDescent="0.3">
      <c r="C174" s="4" t="s">
        <v>349</v>
      </c>
      <c r="D174">
        <v>1</v>
      </c>
      <c r="E174" s="11">
        <v>2.1840000000000002</v>
      </c>
      <c r="F174" s="11">
        <v>2.1840000000000002</v>
      </c>
    </row>
    <row r="175" spans="3:6" x14ac:dyDescent="0.3">
      <c r="C175" s="4" t="s">
        <v>350</v>
      </c>
      <c r="D175">
        <v>1</v>
      </c>
      <c r="E175" s="11">
        <v>3.7128000000000001</v>
      </c>
      <c r="F175" s="11">
        <v>3.7128000000000001</v>
      </c>
    </row>
    <row r="176" spans="3:6" x14ac:dyDescent="0.3">
      <c r="C176" s="4" t="s">
        <v>120</v>
      </c>
      <c r="D176">
        <v>1</v>
      </c>
      <c r="E176" s="11">
        <v>1.5876000000000001</v>
      </c>
      <c r="F176" s="11">
        <v>1.5876000000000001</v>
      </c>
    </row>
    <row r="177" spans="3:6" x14ac:dyDescent="0.3">
      <c r="C177" s="4" t="s">
        <v>121</v>
      </c>
      <c r="D177">
        <v>1</v>
      </c>
      <c r="E177" s="11">
        <v>4.3151999999999999</v>
      </c>
      <c r="F177" s="11">
        <v>4.3151999999999999</v>
      </c>
    </row>
    <row r="178" spans="3:6" x14ac:dyDescent="0.3">
      <c r="C178" s="4" t="s">
        <v>346</v>
      </c>
      <c r="D178">
        <v>1</v>
      </c>
      <c r="E178" s="11">
        <v>2.9328000000000003</v>
      </c>
      <c r="F178" s="11">
        <v>2.9328000000000003</v>
      </c>
    </row>
    <row r="179" spans="3:6" x14ac:dyDescent="0.3">
      <c r="C179" s="4" t="s">
        <v>347</v>
      </c>
      <c r="D179">
        <v>1</v>
      </c>
      <c r="E179" s="11">
        <v>1.3859999999999999</v>
      </c>
      <c r="F179" s="11">
        <v>1.3859999999999999</v>
      </c>
    </row>
    <row r="180" spans="3:6" x14ac:dyDescent="0.3">
      <c r="C180" s="4" t="s">
        <v>122</v>
      </c>
      <c r="D180">
        <v>1</v>
      </c>
      <c r="E180" s="11">
        <v>1.7009999999999998</v>
      </c>
      <c r="F180" s="11">
        <v>1.7009999999999998</v>
      </c>
    </row>
    <row r="181" spans="3:6" x14ac:dyDescent="0.3">
      <c r="C181" s="4" t="s">
        <v>123</v>
      </c>
      <c r="D181">
        <v>1</v>
      </c>
      <c r="E181" s="11">
        <v>3.3912</v>
      </c>
      <c r="F181" s="11">
        <v>3.3912</v>
      </c>
    </row>
    <row r="182" spans="3:6" x14ac:dyDescent="0.3">
      <c r="C182" s="4" t="s">
        <v>124</v>
      </c>
      <c r="D182">
        <v>1</v>
      </c>
      <c r="E182" s="11">
        <v>1.8620000000000001</v>
      </c>
      <c r="F182" s="11">
        <v>1.8620000000000001</v>
      </c>
    </row>
    <row r="183" spans="3:6" x14ac:dyDescent="0.3">
      <c r="C183" s="4" t="s">
        <v>316</v>
      </c>
      <c r="D183">
        <v>2</v>
      </c>
      <c r="E183" s="11">
        <v>1.5427999999999999</v>
      </c>
      <c r="F183" s="11">
        <v>3.0855999999999999</v>
      </c>
    </row>
    <row r="184" spans="3:6" x14ac:dyDescent="0.3">
      <c r="C184" s="4" t="s">
        <v>125</v>
      </c>
      <c r="D184">
        <v>1</v>
      </c>
      <c r="E184" s="11">
        <v>4.5357200000000004</v>
      </c>
      <c r="F184" s="11">
        <v>4.5357200000000004</v>
      </c>
    </row>
    <row r="185" spans="3:6" x14ac:dyDescent="0.3">
      <c r="C185" s="4" t="s">
        <v>126</v>
      </c>
      <c r="D185">
        <v>1</v>
      </c>
      <c r="E185" s="11">
        <v>0.12000000000000005</v>
      </c>
      <c r="F185" s="11">
        <v>0.12000000000000005</v>
      </c>
    </row>
    <row r="186" spans="3:6" x14ac:dyDescent="0.3">
      <c r="C186" s="4" t="s">
        <v>127</v>
      </c>
      <c r="D186">
        <v>1</v>
      </c>
      <c r="E186" s="11">
        <v>1.9138000000000002</v>
      </c>
      <c r="F186" s="11">
        <v>1.9138000000000002</v>
      </c>
    </row>
    <row r="187" spans="3:6" x14ac:dyDescent="0.3">
      <c r="C187" s="4" t="s">
        <v>128</v>
      </c>
      <c r="D187">
        <v>1</v>
      </c>
      <c r="E187" s="11">
        <v>1.4336000000000004</v>
      </c>
      <c r="F187" s="11">
        <v>1.4336000000000004</v>
      </c>
    </row>
    <row r="188" spans="3:6" x14ac:dyDescent="0.3">
      <c r="C188" s="4" t="s">
        <v>129</v>
      </c>
      <c r="D188">
        <v>1</v>
      </c>
      <c r="E188" s="11">
        <v>0.72799999999999987</v>
      </c>
      <c r="F188" s="11">
        <v>0.72799999999999987</v>
      </c>
    </row>
    <row r="189" spans="3:6" x14ac:dyDescent="0.3">
      <c r="C189" s="4" t="s">
        <v>319</v>
      </c>
      <c r="D189">
        <v>4</v>
      </c>
      <c r="E189" s="11">
        <v>0.69440000000000002</v>
      </c>
      <c r="F189" s="11">
        <v>2.7776000000000001</v>
      </c>
    </row>
    <row r="190" spans="3:6" x14ac:dyDescent="0.3">
      <c r="C190" s="3" t="s">
        <v>144</v>
      </c>
      <c r="E190" s="11">
        <v>2.9295720000000003</v>
      </c>
      <c r="F190" s="11">
        <v>2.9295720000000003</v>
      </c>
    </row>
    <row r="191" spans="3:6" x14ac:dyDescent="0.3">
      <c r="C191" s="4" t="s">
        <v>138</v>
      </c>
      <c r="E191" s="11">
        <v>1.8978840000000001</v>
      </c>
      <c r="F191" s="11">
        <v>1.8978840000000001</v>
      </c>
    </row>
    <row r="192" spans="3:6" x14ac:dyDescent="0.3">
      <c r="C192" s="4" t="s">
        <v>142</v>
      </c>
      <c r="E192" s="11">
        <v>0.4572</v>
      </c>
      <c r="F192" s="11">
        <v>0.4572</v>
      </c>
    </row>
    <row r="193" spans="3:6" x14ac:dyDescent="0.3">
      <c r="C193" s="4" t="s">
        <v>141</v>
      </c>
      <c r="E193" s="11">
        <v>0.18748800000000004</v>
      </c>
      <c r="F193" s="11">
        <v>0.18748800000000004</v>
      </c>
    </row>
    <row r="194" spans="3:6" x14ac:dyDescent="0.3">
      <c r="C194" s="4" t="s">
        <v>143</v>
      </c>
      <c r="E194" s="11">
        <v>0.38700000000000001</v>
      </c>
      <c r="F194" s="11">
        <v>0.38700000000000001</v>
      </c>
    </row>
    <row r="195" spans="3:6" x14ac:dyDescent="0.3">
      <c r="C195" s="3" t="s">
        <v>146</v>
      </c>
      <c r="D195">
        <v>6</v>
      </c>
      <c r="E195" s="11">
        <v>0.46818000000000004</v>
      </c>
      <c r="F195" s="11">
        <v>1.4045400000000001</v>
      </c>
    </row>
    <row r="196" spans="3:6" x14ac:dyDescent="0.3">
      <c r="C196" s="4" t="s">
        <v>317</v>
      </c>
      <c r="D196">
        <v>3</v>
      </c>
      <c r="E196" s="11">
        <v>0.190944</v>
      </c>
      <c r="F196" s="11">
        <v>0.57283200000000001</v>
      </c>
    </row>
    <row r="197" spans="3:6" x14ac:dyDescent="0.3">
      <c r="C197" s="4" t="s">
        <v>318</v>
      </c>
      <c r="D197">
        <v>3</v>
      </c>
      <c r="E197" s="11">
        <v>0.27723600000000004</v>
      </c>
      <c r="F197" s="11">
        <v>0.83170800000000011</v>
      </c>
    </row>
    <row r="198" spans="3:6" x14ac:dyDescent="0.3">
      <c r="C198" s="3" t="s">
        <v>145</v>
      </c>
      <c r="E198" s="11">
        <v>1.6638390000000003</v>
      </c>
      <c r="F198" s="11">
        <v>1.6638390000000003</v>
      </c>
    </row>
    <row r="199" spans="3:6" x14ac:dyDescent="0.3">
      <c r="C199" s="4" t="s">
        <v>133</v>
      </c>
      <c r="E199" s="11">
        <v>0.70276500000000008</v>
      </c>
      <c r="F199" s="11">
        <v>0.70276500000000008</v>
      </c>
    </row>
    <row r="200" spans="3:6" x14ac:dyDescent="0.3">
      <c r="C200" s="4" t="s">
        <v>134</v>
      </c>
      <c r="E200" s="11">
        <v>0.96107400000000009</v>
      </c>
      <c r="F200" s="11">
        <v>0.96107400000000009</v>
      </c>
    </row>
    <row r="201" spans="3:6" x14ac:dyDescent="0.3">
      <c r="C201" s="3" t="s">
        <v>139</v>
      </c>
      <c r="E201" s="11">
        <v>3.5582400000000001</v>
      </c>
      <c r="F201" s="11">
        <v>3.5582400000000001</v>
      </c>
    </row>
    <row r="202" spans="3:6" x14ac:dyDescent="0.3">
      <c r="C202" s="4" t="s">
        <v>135</v>
      </c>
      <c r="E202" s="11">
        <v>3.5582400000000001</v>
      </c>
      <c r="F202" s="11">
        <v>3.5582400000000001</v>
      </c>
    </row>
    <row r="203" spans="3:6" x14ac:dyDescent="0.3">
      <c r="C203" s="4" t="s">
        <v>136</v>
      </c>
      <c r="E203" s="11">
        <v>0</v>
      </c>
      <c r="F203" s="11">
        <v>0</v>
      </c>
    </row>
    <row r="204" spans="3:6" x14ac:dyDescent="0.3">
      <c r="C204" s="4" t="s">
        <v>137</v>
      </c>
      <c r="E204" s="11">
        <v>0</v>
      </c>
      <c r="F204" s="11">
        <v>0</v>
      </c>
    </row>
    <row r="205" spans="3:6" x14ac:dyDescent="0.3">
      <c r="C205" s="3" t="s">
        <v>147</v>
      </c>
      <c r="D205">
        <v>3</v>
      </c>
      <c r="E205" s="11">
        <v>0.20671200000000003</v>
      </c>
      <c r="F205" s="11">
        <v>0.62013600000000013</v>
      </c>
    </row>
    <row r="206" spans="3:6" x14ac:dyDescent="0.3">
      <c r="C206" s="4" t="s">
        <v>320</v>
      </c>
      <c r="D206">
        <v>3</v>
      </c>
      <c r="E206" s="11">
        <v>0.20671200000000003</v>
      </c>
      <c r="F206" s="11">
        <v>0.62013600000000013</v>
      </c>
    </row>
    <row r="207" spans="3:6" x14ac:dyDescent="0.3">
      <c r="C207" s="3" t="s">
        <v>68</v>
      </c>
      <c r="D207">
        <v>96</v>
      </c>
      <c r="E207" s="11">
        <v>173.84986550000005</v>
      </c>
      <c r="F207" s="11">
        <v>188.94592949999998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9BE0-C1AA-423C-BCD7-D7303F36B3C3}">
  <dimension ref="B3:O28"/>
  <sheetViews>
    <sheetView zoomScale="85" zoomScaleNormal="85" workbookViewId="0">
      <selection activeCell="I5" sqref="I5"/>
    </sheetView>
  </sheetViews>
  <sheetFormatPr defaultRowHeight="14.4" x14ac:dyDescent="0.3"/>
  <cols>
    <col min="2" max="2" width="17.88671875" bestFit="1" customWidth="1"/>
    <col min="3" max="3" width="16.6640625" bestFit="1" customWidth="1"/>
    <col min="4" max="4" width="10.44140625" bestFit="1" customWidth="1"/>
    <col min="5" max="6" width="13.21875" bestFit="1" customWidth="1"/>
    <col min="7" max="7" width="16" customWidth="1"/>
    <col min="8" max="8" width="7.5546875" customWidth="1"/>
    <col min="10" max="10" width="10" customWidth="1"/>
    <col min="11" max="11" width="16.33203125" customWidth="1"/>
    <col min="12" max="12" width="18.33203125" customWidth="1"/>
  </cols>
  <sheetData>
    <row r="3" spans="2:15" x14ac:dyDescent="0.3">
      <c r="B3" s="6" t="s">
        <v>149</v>
      </c>
      <c r="C3" s="7"/>
      <c r="D3" s="7"/>
      <c r="E3" s="7"/>
    </row>
    <row r="5" spans="2:15" ht="15.75" customHeight="1" x14ac:dyDescent="0.3">
      <c r="B5" t="s">
        <v>18</v>
      </c>
      <c r="C5" t="s">
        <v>222</v>
      </c>
      <c r="D5" t="s">
        <v>221</v>
      </c>
      <c r="E5" t="s">
        <v>4</v>
      </c>
      <c r="F5" t="s">
        <v>26</v>
      </c>
      <c r="G5" t="s">
        <v>25</v>
      </c>
      <c r="H5" t="s">
        <v>27</v>
      </c>
      <c r="I5" t="s">
        <v>82</v>
      </c>
      <c r="J5" t="s">
        <v>24</v>
      </c>
      <c r="K5" t="s">
        <v>83</v>
      </c>
      <c r="L5" t="s">
        <v>38</v>
      </c>
      <c r="M5" t="s">
        <v>309</v>
      </c>
      <c r="N5" t="s">
        <v>28</v>
      </c>
      <c r="O5" t="s">
        <v>72</v>
      </c>
    </row>
    <row r="6" spans="2:15" x14ac:dyDescent="0.3">
      <c r="B6" t="s">
        <v>166</v>
      </c>
      <c r="C6" t="s">
        <v>169</v>
      </c>
      <c r="D6">
        <v>1</v>
      </c>
      <c r="E6" t="s">
        <v>162</v>
      </c>
      <c r="H6" s="1">
        <f>Tabela_Strop_0[[#This Row],[hg]]-Tabela_Strop_0[[#This Row],[hd]]</f>
        <v>0.20000000000000018</v>
      </c>
      <c r="I6" s="1"/>
      <c r="J6" s="1">
        <v>375.92</v>
      </c>
      <c r="K6" s="1">
        <v>2.78</v>
      </c>
      <c r="L6" s="1">
        <v>2.98</v>
      </c>
      <c r="M6" s="1">
        <f>Tabela_Strop_0[[#This Row],[h '[m']]]*Tabela_Strop_0[[#This Row],[A '[m2']]]</f>
        <v>75.184000000000069</v>
      </c>
      <c r="N6" s="1">
        <f>PRODUCT(Tabela_Strop_0[[#This Row],[Szt.]],Tabela_Strop_0[[#This Row],[Vj '[m3']]])</f>
        <v>75.184000000000069</v>
      </c>
      <c r="O6" s="1"/>
    </row>
    <row r="7" spans="2:15" x14ac:dyDescent="0.3">
      <c r="B7" t="s">
        <v>166</v>
      </c>
      <c r="C7" t="s">
        <v>169</v>
      </c>
      <c r="D7">
        <v>1</v>
      </c>
      <c r="E7" t="s">
        <v>163</v>
      </c>
      <c r="H7" s="1">
        <f>Tabela_Strop_0[[#This Row],[hg]]-Tabela_Strop_0[[#This Row],[hd]]</f>
        <v>0.25</v>
      </c>
      <c r="I7" s="1"/>
      <c r="J7" s="1">
        <v>621.04999999999995</v>
      </c>
      <c r="K7" s="1">
        <v>3.12</v>
      </c>
      <c r="L7" s="1">
        <v>3.37</v>
      </c>
      <c r="M7" s="1">
        <f>Tabela_Strop_0[[#This Row],[h '[m']]]*Tabela_Strop_0[[#This Row],[A '[m2']]]</f>
        <v>155.26249999999999</v>
      </c>
      <c r="N7" s="1">
        <f>PRODUCT(Tabela_Strop_0[[#This Row],[Szt.]],Tabela_Strop_0[[#This Row],[Vj '[m3']]])</f>
        <v>155.26249999999999</v>
      </c>
      <c r="O7" s="1"/>
    </row>
    <row r="8" spans="2:15" x14ac:dyDescent="0.3">
      <c r="B8" t="s">
        <v>166</v>
      </c>
      <c r="C8" t="s">
        <v>169</v>
      </c>
      <c r="D8">
        <v>1</v>
      </c>
      <c r="E8" t="s">
        <v>164</v>
      </c>
      <c r="H8" s="1">
        <f>Tabela_Strop_0[[#This Row],[hg]]-Tabela_Strop_0[[#This Row],[hd]]</f>
        <v>0.35000000000000009</v>
      </c>
      <c r="I8" s="1"/>
      <c r="J8" s="1">
        <v>150.08000000000001</v>
      </c>
      <c r="K8" s="1">
        <v>3.02</v>
      </c>
      <c r="L8" s="1">
        <v>3.37</v>
      </c>
      <c r="M8" s="1">
        <f>Tabela_Strop_0[[#This Row],[h '[m']]]*Tabela_Strop_0[[#This Row],[A '[m2']]]</f>
        <v>52.52800000000002</v>
      </c>
      <c r="N8" s="1">
        <f>PRODUCT(Tabela_Strop_0[[#This Row],[Szt.]],Tabela_Strop_0[[#This Row],[Vj '[m3']]])</f>
        <v>52.52800000000002</v>
      </c>
      <c r="O8" s="1"/>
    </row>
    <row r="9" spans="2:15" x14ac:dyDescent="0.3">
      <c r="B9" t="s">
        <v>166</v>
      </c>
      <c r="C9" t="s">
        <v>169</v>
      </c>
      <c r="D9">
        <v>1</v>
      </c>
      <c r="E9" t="s">
        <v>165</v>
      </c>
      <c r="H9" s="1">
        <f>Tabela_Strop_0[[#This Row],[hg]]-Tabela_Strop_0[[#This Row],[hd]]</f>
        <v>0.5</v>
      </c>
      <c r="I9" s="1"/>
      <c r="J9" s="1">
        <v>20.079999999999998</v>
      </c>
      <c r="K9" s="1">
        <v>2.87</v>
      </c>
      <c r="L9" s="1">
        <v>3.37</v>
      </c>
      <c r="M9" s="1">
        <f>Tabela_Strop_0[[#This Row],[h '[m']]]*Tabela_Strop_0[[#This Row],[A '[m2']]]</f>
        <v>10.039999999999999</v>
      </c>
      <c r="N9" s="1">
        <f>PRODUCT(Tabela_Strop_0[[#This Row],[Szt.]],Tabela_Strop_0[[#This Row],[Vj '[m3']]])</f>
        <v>10.039999999999999</v>
      </c>
      <c r="O9" s="1"/>
    </row>
    <row r="10" spans="2:15" x14ac:dyDescent="0.3">
      <c r="B10" t="s">
        <v>167</v>
      </c>
      <c r="C10" t="s">
        <v>169</v>
      </c>
      <c r="D10">
        <v>1</v>
      </c>
      <c r="E10" t="s">
        <v>153</v>
      </c>
      <c r="F10">
        <v>4.6500000000000004</v>
      </c>
      <c r="G10">
        <v>1.29</v>
      </c>
      <c r="H10" s="1">
        <f>Tabela_Strop_0[[#This Row],[hg]]-Tabela_Strop_0[[#This Row],[hd]]</f>
        <v>0.14999999999999991</v>
      </c>
      <c r="I10" s="1"/>
      <c r="J10" s="1">
        <f t="shared" ref="J10:J12" si="0">PRODUCT(F10:G10)</f>
        <v>5.9985000000000008</v>
      </c>
      <c r="K10" s="1">
        <v>2.7</v>
      </c>
      <c r="L10" s="1">
        <v>2.85</v>
      </c>
      <c r="M10" s="1">
        <f>Tabela_Strop_0[[#This Row],[h '[m']]]*Tabela_Strop_0[[#This Row],[A '[m2']]]</f>
        <v>0.89977499999999955</v>
      </c>
      <c r="N10" s="1">
        <f>PRODUCT(Tabela_Strop_0[[#This Row],[Szt.]],Tabela_Strop_0[[#This Row],[Vj '[m3']]])</f>
        <v>0.89977499999999955</v>
      </c>
      <c r="O10" s="1"/>
    </row>
    <row r="11" spans="2:15" x14ac:dyDescent="0.3">
      <c r="B11" t="s">
        <v>167</v>
      </c>
      <c r="C11" t="s">
        <v>169</v>
      </c>
      <c r="D11">
        <v>1</v>
      </c>
      <c r="E11" t="s">
        <v>151</v>
      </c>
      <c r="F11">
        <v>5.7350000000000003</v>
      </c>
      <c r="G11">
        <v>1.18</v>
      </c>
      <c r="H11" s="1">
        <f>Tabela_Strop_0[[#This Row],[hg]]-Tabela_Strop_0[[#This Row],[hd]]</f>
        <v>0.1899999999999995</v>
      </c>
      <c r="I11" s="1"/>
      <c r="J11" s="1">
        <f t="shared" si="0"/>
        <v>6.7672999999999996</v>
      </c>
      <c r="K11" s="1">
        <v>2.7</v>
      </c>
      <c r="L11" s="1">
        <f>AVERAGE(2.9,2.88)</f>
        <v>2.8899999999999997</v>
      </c>
      <c r="M11" s="1">
        <f>Tabela_Strop_0[[#This Row],[h '[m']]]*Tabela_Strop_0[[#This Row],[A '[m2']]]</f>
        <v>1.2857869999999965</v>
      </c>
      <c r="N11" s="1">
        <f>PRODUCT(Tabela_Strop_0[[#This Row],[Szt.]],Tabela_Strop_0[[#This Row],[Vj '[m3']]])</f>
        <v>1.2857869999999965</v>
      </c>
      <c r="O11" s="1"/>
    </row>
    <row r="12" spans="2:15" x14ac:dyDescent="0.3">
      <c r="B12" t="s">
        <v>167</v>
      </c>
      <c r="C12" t="s">
        <v>169</v>
      </c>
      <c r="E12" t="s">
        <v>152</v>
      </c>
      <c r="F12">
        <v>9.56</v>
      </c>
      <c r="G12">
        <v>1.3</v>
      </c>
      <c r="H12" s="1">
        <f>Tabela_Strop_0[[#This Row],[hg]]-Tabela_Strop_0[[#This Row],[hd]]</f>
        <v>0.1599999999999997</v>
      </c>
      <c r="I12" s="1"/>
      <c r="J12" s="1">
        <f t="shared" si="0"/>
        <v>12.428000000000001</v>
      </c>
      <c r="K12" s="1">
        <v>2.7</v>
      </c>
      <c r="L12" s="1">
        <f>AVERAGE(2.88,2.84)</f>
        <v>2.86</v>
      </c>
      <c r="M12" s="1">
        <f>Tabela_Strop_0[[#This Row],[h '[m']]]*Tabela_Strop_0[[#This Row],[A '[m2']]]</f>
        <v>1.9884799999999965</v>
      </c>
      <c r="N12" s="1">
        <f>PRODUCT(Tabela_Strop_0[[#This Row],[Szt.]],Tabela_Strop_0[[#This Row],[Vj '[m3']]])</f>
        <v>1.9884799999999965</v>
      </c>
      <c r="O12" s="1"/>
    </row>
    <row r="13" spans="2:15" x14ac:dyDescent="0.3">
      <c r="B13" t="s">
        <v>167</v>
      </c>
      <c r="C13" t="s">
        <v>169</v>
      </c>
      <c r="D13">
        <v>1</v>
      </c>
      <c r="E13" t="s">
        <v>155</v>
      </c>
      <c r="F13">
        <v>10.98</v>
      </c>
      <c r="G13">
        <v>1.42</v>
      </c>
      <c r="H13" s="1">
        <f>Tabela_Strop_0[[#This Row],[hg]]-Tabela_Strop_0[[#This Row],[hd]]</f>
        <v>0.1899999999999995</v>
      </c>
      <c r="I13" s="1"/>
      <c r="J13" s="1">
        <f t="shared" ref="J13" si="1">PRODUCT(F13:G13)</f>
        <v>15.5916</v>
      </c>
      <c r="K13" s="1">
        <v>2.7</v>
      </c>
      <c r="L13" s="1">
        <f>AVERAGE(2.9,2.88)</f>
        <v>2.8899999999999997</v>
      </c>
      <c r="M13" s="1">
        <f>Tabela_Strop_0[[#This Row],[h '[m']]]*Tabela_Strop_0[[#This Row],[A '[m2']]]</f>
        <v>2.9624039999999923</v>
      </c>
      <c r="N13" s="1">
        <f>PRODUCT(Tabela_Strop_0[[#This Row],[Szt.]],Tabela_Strop_0[[#This Row],[Vj '[m3']]])</f>
        <v>2.9624039999999923</v>
      </c>
      <c r="O13" s="1"/>
    </row>
    <row r="14" spans="2:15" x14ac:dyDescent="0.3">
      <c r="B14" t="s">
        <v>167</v>
      </c>
      <c r="C14" t="s">
        <v>169</v>
      </c>
      <c r="E14" t="s">
        <v>156</v>
      </c>
      <c r="F14">
        <v>5.75</v>
      </c>
      <c r="G14">
        <v>1.18</v>
      </c>
      <c r="H14" s="1">
        <f>Tabela_Strop_0[[#This Row],[hg]]-Tabela_Strop_0[[#This Row],[hd]]</f>
        <v>0.1599999999999997</v>
      </c>
      <c r="I14" s="1"/>
      <c r="J14" s="1">
        <f t="shared" ref="J14:J19" si="2">PRODUCT(F14:G14)</f>
        <v>6.7849999999999993</v>
      </c>
      <c r="K14" s="1">
        <v>2.7</v>
      </c>
      <c r="L14" s="1">
        <f t="shared" ref="L14:L19" si="3">AVERAGE(2.88,2.84)</f>
        <v>2.86</v>
      </c>
      <c r="M14" s="1">
        <f>Tabela_Strop_0[[#This Row],[h '[m']]]*Tabela_Strop_0[[#This Row],[A '[m2']]]</f>
        <v>1.0855999999999979</v>
      </c>
      <c r="N14" s="1">
        <f>PRODUCT(Tabela_Strop_0[[#This Row],[Szt.]],Tabela_Strop_0[[#This Row],[Vj '[m3']]])</f>
        <v>1.0855999999999979</v>
      </c>
      <c r="O14" s="1"/>
    </row>
    <row r="15" spans="2:15" x14ac:dyDescent="0.3">
      <c r="B15" t="s">
        <v>167</v>
      </c>
      <c r="C15" t="s">
        <v>169</v>
      </c>
      <c r="D15">
        <v>1</v>
      </c>
      <c r="E15" t="s">
        <v>157</v>
      </c>
      <c r="F15">
        <f>AVERAGE(10.89,11.15)</f>
        <v>11.02</v>
      </c>
      <c r="G15">
        <v>1.42</v>
      </c>
      <c r="H15" s="1">
        <f>Tabela_Strop_0[[#This Row],[hg]]-Tabela_Strop_0[[#This Row],[hd]]</f>
        <v>0.1599999999999997</v>
      </c>
      <c r="I15" s="1"/>
      <c r="J15" s="1">
        <f t="shared" si="2"/>
        <v>15.648399999999999</v>
      </c>
      <c r="K15" s="1">
        <v>2.7</v>
      </c>
      <c r="L15" s="1">
        <f t="shared" si="3"/>
        <v>2.86</v>
      </c>
      <c r="M15" s="1">
        <f>Tabela_Strop_0[[#This Row],[h '[m']]]*Tabela_Strop_0[[#This Row],[A '[m2']]]</f>
        <v>2.5037439999999949</v>
      </c>
      <c r="N15" s="1">
        <f>PRODUCT(Tabela_Strop_0[[#This Row],[Szt.]],Tabela_Strop_0[[#This Row],[Vj '[m3']]])</f>
        <v>2.5037439999999949</v>
      </c>
      <c r="O15" s="1"/>
    </row>
    <row r="16" spans="2:15" x14ac:dyDescent="0.3">
      <c r="B16" t="s">
        <v>167</v>
      </c>
      <c r="C16" t="s">
        <v>169</v>
      </c>
      <c r="D16">
        <v>1</v>
      </c>
      <c r="E16" t="s">
        <v>154</v>
      </c>
      <c r="F16" s="1">
        <f>AVERAGE(11,11.33)</f>
        <v>11.164999999999999</v>
      </c>
      <c r="G16">
        <v>1.7050000000000001</v>
      </c>
      <c r="H16" s="1">
        <f>Tabela_Strop_0[[#This Row],[hg]]-Tabela_Strop_0[[#This Row],[hd]]</f>
        <v>0.1599999999999997</v>
      </c>
      <c r="I16" s="1"/>
      <c r="J16" s="1">
        <f t="shared" si="2"/>
        <v>19.036324999999998</v>
      </c>
      <c r="K16" s="1">
        <v>2.7</v>
      </c>
      <c r="L16" s="1">
        <f t="shared" si="3"/>
        <v>2.86</v>
      </c>
      <c r="M16" s="1">
        <f>Tabela_Strop_0[[#This Row],[h '[m']]]*Tabela_Strop_0[[#This Row],[A '[m2']]]</f>
        <v>3.045811999999994</v>
      </c>
      <c r="N16" s="1">
        <f>PRODUCT(Tabela_Strop_0[[#This Row],[Szt.]],Tabela_Strop_0[[#This Row],[Vj '[m3']]])</f>
        <v>3.045811999999994</v>
      </c>
      <c r="O16" s="1"/>
    </row>
    <row r="17" spans="2:15" x14ac:dyDescent="0.3">
      <c r="B17" t="s">
        <v>167</v>
      </c>
      <c r="C17" t="s">
        <v>169</v>
      </c>
      <c r="D17">
        <v>1</v>
      </c>
      <c r="E17" t="s">
        <v>159</v>
      </c>
      <c r="F17" s="1">
        <v>13.44</v>
      </c>
      <c r="G17">
        <v>1.7050000000000001</v>
      </c>
      <c r="H17" s="1">
        <f>Tabela_Strop_0[[#This Row],[hg]]-Tabela_Strop_0[[#This Row],[hd]]</f>
        <v>0.1599999999999997</v>
      </c>
      <c r="I17" s="1"/>
      <c r="J17" s="1">
        <f t="shared" si="2"/>
        <v>22.915199999999999</v>
      </c>
      <c r="K17" s="1">
        <v>2.7</v>
      </c>
      <c r="L17" s="1">
        <f t="shared" si="3"/>
        <v>2.86</v>
      </c>
      <c r="M17" s="1">
        <f>Tabela_Strop_0[[#This Row],[h '[m']]]*Tabela_Strop_0[[#This Row],[A '[m2']]]</f>
        <v>3.6664319999999928</v>
      </c>
      <c r="N17" s="1">
        <f>PRODUCT(Tabela_Strop_0[[#This Row],[Szt.]],Tabela_Strop_0[[#This Row],[Vj '[m3']]])</f>
        <v>3.6664319999999928</v>
      </c>
      <c r="O17" s="1"/>
    </row>
    <row r="18" spans="2:15" x14ac:dyDescent="0.3">
      <c r="B18" t="s">
        <v>167</v>
      </c>
      <c r="C18" t="s">
        <v>169</v>
      </c>
      <c r="D18">
        <v>1</v>
      </c>
      <c r="E18" t="s">
        <v>160</v>
      </c>
      <c r="F18" s="1">
        <f>AVERAGE(9.65,9.38)</f>
        <v>9.5150000000000006</v>
      </c>
      <c r="G18">
        <v>1.7050000000000001</v>
      </c>
      <c r="H18" s="1">
        <f>Tabela_Strop_0[[#This Row],[hg]]-Tabela_Strop_0[[#This Row],[hd]]</f>
        <v>0.1599999999999997</v>
      </c>
      <c r="I18" s="1"/>
      <c r="J18" s="1">
        <f t="shared" si="2"/>
        <v>16.223075000000001</v>
      </c>
      <c r="K18" s="1">
        <v>2.7</v>
      </c>
      <c r="L18" s="1">
        <f t="shared" si="3"/>
        <v>2.86</v>
      </c>
      <c r="M18" s="1">
        <f>Tabela_Strop_0[[#This Row],[h '[m']]]*Tabela_Strop_0[[#This Row],[A '[m2']]]</f>
        <v>2.5956919999999952</v>
      </c>
      <c r="N18" s="1">
        <f>PRODUCT(Tabela_Strop_0[[#This Row],[Szt.]],Tabela_Strop_0[[#This Row],[Vj '[m3']]])</f>
        <v>2.5956919999999952</v>
      </c>
      <c r="O18" s="1"/>
    </row>
    <row r="19" spans="2:15" x14ac:dyDescent="0.3">
      <c r="B19" t="s">
        <v>167</v>
      </c>
      <c r="C19" t="s">
        <v>169</v>
      </c>
      <c r="D19">
        <v>1</v>
      </c>
      <c r="E19" t="s">
        <v>161</v>
      </c>
      <c r="F19" s="1">
        <f>AVERAGE(8.61,8.83)</f>
        <v>8.7199999999999989</v>
      </c>
      <c r="G19">
        <v>1.4</v>
      </c>
      <c r="H19" s="1">
        <f>Tabela_Strop_0[[#This Row],[hg]]-Tabela_Strop_0[[#This Row],[hd]]</f>
        <v>0.1599999999999997</v>
      </c>
      <c r="I19" s="1"/>
      <c r="J19" s="1">
        <f t="shared" si="2"/>
        <v>12.207999999999998</v>
      </c>
      <c r="K19" s="1">
        <v>2.7</v>
      </c>
      <c r="L19" s="1">
        <f t="shared" si="3"/>
        <v>2.86</v>
      </c>
      <c r="M19" s="1">
        <f>Tabela_Strop_0[[#This Row],[h '[m']]]*Tabela_Strop_0[[#This Row],[A '[m2']]]</f>
        <v>1.9532799999999961</v>
      </c>
      <c r="N19" s="1">
        <f>PRODUCT(Tabela_Strop_0[[#This Row],[Szt.]],Tabela_Strop_0[[#This Row],[Vj '[m3']]])</f>
        <v>1.9532799999999961</v>
      </c>
      <c r="O19" s="1"/>
    </row>
    <row r="20" spans="2:15" x14ac:dyDescent="0.3">
      <c r="B20" t="s">
        <v>168</v>
      </c>
      <c r="C20" t="s">
        <v>169</v>
      </c>
      <c r="D20">
        <v>9</v>
      </c>
      <c r="E20" t="s">
        <v>158</v>
      </c>
      <c r="F20">
        <v>1.72</v>
      </c>
      <c r="G20">
        <v>1.34</v>
      </c>
      <c r="H20" s="1">
        <f>Tabela_Strop_0[[#This Row],[hg]]-Tabela_Strop_0[[#This Row],[hd]]</f>
        <v>0.16999999999999993</v>
      </c>
      <c r="I20" s="1"/>
      <c r="J20" s="1">
        <f t="shared" ref="J20" si="4">PRODUCT(F20:G20)</f>
        <v>2.3048000000000002</v>
      </c>
      <c r="K20" s="1">
        <v>3.19</v>
      </c>
      <c r="L20" s="1">
        <v>3.36</v>
      </c>
      <c r="M20" s="1">
        <f>Tabela_Strop_0[[#This Row],[h '[m']]]*Tabela_Strop_0[[#This Row],[A '[m2']]]</f>
        <v>0.39181599999999989</v>
      </c>
      <c r="N20" s="1">
        <f>PRODUCT(Tabela_Strop_0[[#This Row],[Szt.]],Tabela_Strop_0[[#This Row],[Vj '[m3']]])</f>
        <v>3.526343999999999</v>
      </c>
      <c r="O20" s="1"/>
    </row>
    <row r="24" spans="2:15" x14ac:dyDescent="0.3">
      <c r="C24" s="2" t="s">
        <v>67</v>
      </c>
      <c r="D24" t="s">
        <v>255</v>
      </c>
      <c r="E24" t="s">
        <v>69</v>
      </c>
    </row>
    <row r="25" spans="2:15" x14ac:dyDescent="0.3">
      <c r="C25" s="3" t="s">
        <v>167</v>
      </c>
      <c r="D25">
        <v>8</v>
      </c>
      <c r="E25" s="11">
        <v>21.987005999999958</v>
      </c>
    </row>
    <row r="26" spans="2:15" x14ac:dyDescent="0.3">
      <c r="C26" s="3" t="s">
        <v>168</v>
      </c>
      <c r="D26">
        <v>9</v>
      </c>
      <c r="E26" s="11">
        <v>3.526343999999999</v>
      </c>
    </row>
    <row r="27" spans="2:15" x14ac:dyDescent="0.3">
      <c r="C27" s="3" t="s">
        <v>166</v>
      </c>
      <c r="D27">
        <v>4</v>
      </c>
      <c r="E27" s="11">
        <v>293.01450000000011</v>
      </c>
    </row>
    <row r="28" spans="2:15" x14ac:dyDescent="0.3">
      <c r="C28" s="3" t="s">
        <v>68</v>
      </c>
      <c r="D28">
        <v>21</v>
      </c>
      <c r="E28" s="11">
        <v>318.52785000000006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3C98-90F4-480D-BC1F-EE17202BC910}">
  <dimension ref="B3:O122"/>
  <sheetViews>
    <sheetView zoomScale="85" zoomScaleNormal="85" workbookViewId="0">
      <selection activeCell="C15" sqref="C15:C63"/>
    </sheetView>
  </sheetViews>
  <sheetFormatPr defaultRowHeight="14.4" x14ac:dyDescent="0.3"/>
  <cols>
    <col min="2" max="2" width="20.33203125" bestFit="1" customWidth="1"/>
    <col min="3" max="3" width="16.5546875" customWidth="1"/>
    <col min="4" max="5" width="13.5546875" bestFit="1" customWidth="1"/>
    <col min="6" max="6" width="12.88671875" customWidth="1"/>
    <col min="7" max="7" width="7" customWidth="1"/>
    <col min="8" max="8" width="7.5546875" customWidth="1"/>
    <col min="10" max="10" width="10" customWidth="1"/>
    <col min="11" max="11" width="16.33203125" customWidth="1"/>
    <col min="12" max="12" width="12.33203125" customWidth="1"/>
    <col min="13" max="13" width="14.77734375" customWidth="1"/>
    <col min="14" max="14" width="14.5546875" customWidth="1"/>
  </cols>
  <sheetData>
    <row r="3" spans="2:15" x14ac:dyDescent="0.3">
      <c r="B3" s="6" t="s">
        <v>202</v>
      </c>
      <c r="C3" s="7"/>
      <c r="D3" s="7"/>
      <c r="E3" s="7"/>
    </row>
    <row r="4" spans="2:15" x14ac:dyDescent="0.3">
      <c r="B4" t="s">
        <v>223</v>
      </c>
    </row>
    <row r="5" spans="2:15" x14ac:dyDescent="0.3">
      <c r="B5" t="s">
        <v>229</v>
      </c>
    </row>
    <row r="7" spans="2:15" x14ac:dyDescent="0.3">
      <c r="B7" t="s">
        <v>178</v>
      </c>
    </row>
    <row r="8" spans="2:15" x14ac:dyDescent="0.3">
      <c r="B8" t="s">
        <v>267</v>
      </c>
    </row>
    <row r="9" spans="2:15" x14ac:dyDescent="0.3">
      <c r="B9" s="8" t="s">
        <v>266</v>
      </c>
      <c r="C9" s="8"/>
    </row>
    <row r="10" spans="2:15" x14ac:dyDescent="0.3">
      <c r="B10" s="8" t="s">
        <v>258</v>
      </c>
      <c r="C10" s="8" t="s">
        <v>268</v>
      </c>
    </row>
    <row r="11" spans="2:15" x14ac:dyDescent="0.3">
      <c r="B11" s="8"/>
      <c r="C11" s="8"/>
    </row>
    <row r="14" spans="2:15" ht="15.75" customHeight="1" x14ac:dyDescent="0.3">
      <c r="B14" t="s">
        <v>18</v>
      </c>
      <c r="C14" t="s">
        <v>222</v>
      </c>
      <c r="D14" t="s">
        <v>4</v>
      </c>
      <c r="E14" t="s">
        <v>221</v>
      </c>
      <c r="F14" t="s">
        <v>26</v>
      </c>
      <c r="G14" t="s">
        <v>25</v>
      </c>
      <c r="H14" t="s">
        <v>24</v>
      </c>
      <c r="I14" t="s">
        <v>83</v>
      </c>
      <c r="J14" t="s">
        <v>38</v>
      </c>
      <c r="K14" t="s">
        <v>27</v>
      </c>
      <c r="L14" t="s">
        <v>309</v>
      </c>
      <c r="M14" t="s">
        <v>28</v>
      </c>
      <c r="N14" t="s">
        <v>82</v>
      </c>
      <c r="O14" t="s">
        <v>72</v>
      </c>
    </row>
    <row r="15" spans="2:15" ht="15.75" customHeight="1" x14ac:dyDescent="0.3">
      <c r="B15" t="s">
        <v>201</v>
      </c>
      <c r="C15" t="s">
        <v>365</v>
      </c>
      <c r="D15" t="s">
        <v>198</v>
      </c>
      <c r="F15">
        <v>163.36000000000001</v>
      </c>
      <c r="G15">
        <v>0.18</v>
      </c>
      <c r="H15" s="1">
        <f>Tabela_Piony_N[[#This Row],[L '[m']]]*Tabela_Piony_N[[#This Row],[B '[m']]]</f>
        <v>29.404800000000002</v>
      </c>
      <c r="I15" s="1">
        <v>3.37</v>
      </c>
      <c r="J15" s="1">
        <f>6.47-0.18</f>
        <v>6.29</v>
      </c>
      <c r="K15" s="1">
        <f>Tabela_Piony_N[[#This Row],[hg]]-Tabela_Piony_N[[#This Row],[hd]]</f>
        <v>2.92</v>
      </c>
      <c r="L15" s="1">
        <f>PRODUCT(Tabela_Piony_N[[#This Row],[A '[m2']]],Tabela_Piony_N[[#This Row],[h '[m']]])</f>
        <v>85.862015999999997</v>
      </c>
      <c r="M15" s="1">
        <f>PRODUCT(Tabela_Piony_N[[#This Row],[Szt.]],Tabela_Piony_N[[#This Row],[Vj '[m3']]])</f>
        <v>85.862015999999997</v>
      </c>
      <c r="N15" s="1"/>
      <c r="O15" s="1">
        <v>185</v>
      </c>
    </row>
    <row r="16" spans="2:15" ht="15.75" customHeight="1" x14ac:dyDescent="0.3">
      <c r="B16" t="s">
        <v>201</v>
      </c>
      <c r="C16" t="s">
        <v>365</v>
      </c>
      <c r="D16" t="s">
        <v>200</v>
      </c>
      <c r="F16">
        <v>5.12</v>
      </c>
      <c r="G16">
        <v>0.18</v>
      </c>
      <c r="H16" s="1">
        <f>Tabela_Piony_N[[#This Row],[L '[m']]]*Tabela_Piony_N[[#This Row],[B '[m']]]</f>
        <v>0.92159999999999997</v>
      </c>
      <c r="I16" s="1">
        <v>3.37</v>
      </c>
      <c r="J16" s="1">
        <f t="shared" ref="J16:J23" si="0">6.47-0.18</f>
        <v>6.29</v>
      </c>
      <c r="K16" s="1">
        <f>Tabela_Piony_N[[#This Row],[hg]]-Tabela_Piony_N[[#This Row],[hd]]</f>
        <v>2.92</v>
      </c>
      <c r="L16" s="1">
        <f>PRODUCT(Tabela_Piony_N[[#This Row],[A '[m2']]],Tabela_Piony_N[[#This Row],[h '[m']]])</f>
        <v>2.6910719999999997</v>
      </c>
      <c r="M16" s="1">
        <f>PRODUCT(Tabela_Piony_N[[#This Row],[Szt.]],Tabela_Piony_N[[#This Row],[Vj '[m3']]])</f>
        <v>2.6910719999999997</v>
      </c>
      <c r="N16" s="1"/>
      <c r="O16" s="1">
        <v>93</v>
      </c>
    </row>
    <row r="17" spans="2:15" ht="15.75" customHeight="1" x14ac:dyDescent="0.3">
      <c r="B17" t="s">
        <v>201</v>
      </c>
      <c r="C17" t="s">
        <v>365</v>
      </c>
      <c r="D17" t="s">
        <v>199</v>
      </c>
      <c r="F17">
        <v>31</v>
      </c>
      <c r="G17">
        <v>0.18</v>
      </c>
      <c r="H17" s="1">
        <f>Tabela_Piony_N[[#This Row],[L '[m']]]*Tabela_Piony_N[[#This Row],[B '[m']]]</f>
        <v>5.58</v>
      </c>
      <c r="I17" s="1">
        <v>3.37</v>
      </c>
      <c r="J17" s="1">
        <f t="shared" si="0"/>
        <v>6.29</v>
      </c>
      <c r="K17" s="1">
        <f>Tabela_Piony_N[[#This Row],[hg]]-Tabela_Piony_N[[#This Row],[hd]]</f>
        <v>2.92</v>
      </c>
      <c r="L17" s="1">
        <f>PRODUCT(Tabela_Piony_N[[#This Row],[A '[m2']]],Tabela_Piony_N[[#This Row],[h '[m']]])</f>
        <v>16.293600000000001</v>
      </c>
      <c r="M17" s="1">
        <f>PRODUCT(Tabela_Piony_N[[#This Row],[Szt.]],Tabela_Piony_N[[#This Row],[Vj '[m3']]])</f>
        <v>16.293600000000001</v>
      </c>
      <c r="N17" s="1"/>
      <c r="O17" s="1">
        <v>32</v>
      </c>
    </row>
    <row r="18" spans="2:15" ht="15.75" customHeight="1" x14ac:dyDescent="0.3">
      <c r="B18" t="s">
        <v>201</v>
      </c>
      <c r="C18" t="s">
        <v>366</v>
      </c>
      <c r="D18" t="s">
        <v>200</v>
      </c>
      <c r="F18">
        <v>44.72</v>
      </c>
      <c r="G18">
        <v>0.18</v>
      </c>
      <c r="H18" s="1">
        <f>Tabela_Piony_N[[#This Row],[L '[m']]]*Tabela_Piony_N[[#This Row],[B '[m']]]</f>
        <v>8.0495999999999999</v>
      </c>
      <c r="I18" s="1">
        <v>3.37</v>
      </c>
      <c r="J18" s="1">
        <f t="shared" si="0"/>
        <v>6.29</v>
      </c>
      <c r="K18" s="1">
        <f>Tabela_Piony_N[[#This Row],[hg]]-Tabela_Piony_N[[#This Row],[hd]]</f>
        <v>2.92</v>
      </c>
      <c r="L18" s="1">
        <f>PRODUCT(Tabela_Piony_N[[#This Row],[A '[m2']]],Tabela_Piony_N[[#This Row],[h '[m']]])</f>
        <v>23.504832</v>
      </c>
      <c r="M18" s="1">
        <f>PRODUCT(Tabela_Piony_N[[#This Row],[Szt.]],Tabela_Piony_N[[#This Row],[Vj '[m3']]])</f>
        <v>23.504832</v>
      </c>
      <c r="N18" s="1"/>
      <c r="O18" s="1"/>
    </row>
    <row r="19" spans="2:15" ht="15.75" customHeight="1" x14ac:dyDescent="0.3">
      <c r="B19" t="s">
        <v>201</v>
      </c>
      <c r="C19" t="s">
        <v>366</v>
      </c>
      <c r="D19" t="s">
        <v>200</v>
      </c>
      <c r="F19">
        <v>5.12</v>
      </c>
      <c r="G19">
        <v>0.18</v>
      </c>
      <c r="H19" s="1">
        <f>Tabela_Piony_N[[#This Row],[L '[m']]]*Tabela_Piony_N[[#This Row],[B '[m']]]</f>
        <v>0.92159999999999997</v>
      </c>
      <c r="I19" s="1">
        <v>3.37</v>
      </c>
      <c r="J19" s="1">
        <f t="shared" si="0"/>
        <v>6.29</v>
      </c>
      <c r="K19" s="1">
        <f>Tabela_Piony_N[[#This Row],[hg]]-Tabela_Piony_N[[#This Row],[hd]]</f>
        <v>2.92</v>
      </c>
      <c r="L19" s="1">
        <f>PRODUCT(Tabela_Piony_N[[#This Row],[A '[m2']]],Tabela_Piony_N[[#This Row],[h '[m']]])</f>
        <v>2.6910719999999997</v>
      </c>
      <c r="M19" s="1">
        <f>PRODUCT(Tabela_Piony_N[[#This Row],[Szt.]],Tabela_Piony_N[[#This Row],[Vj '[m3']]])</f>
        <v>2.6910719999999997</v>
      </c>
      <c r="N19" s="1"/>
      <c r="O19" s="1"/>
    </row>
    <row r="20" spans="2:15" ht="15.75" customHeight="1" x14ac:dyDescent="0.3">
      <c r="B20" t="s">
        <v>201</v>
      </c>
      <c r="C20" t="s">
        <v>367</v>
      </c>
      <c r="D20" t="s">
        <v>200</v>
      </c>
      <c r="F20">
        <v>15.14</v>
      </c>
      <c r="G20">
        <v>0.18</v>
      </c>
      <c r="H20" s="1">
        <f>Tabela_Piony_N[[#This Row],[L '[m']]]*Tabela_Piony_N[[#This Row],[B '[m']]]</f>
        <v>2.7252000000000001</v>
      </c>
      <c r="I20" s="1">
        <v>3.37</v>
      </c>
      <c r="J20" s="1">
        <f t="shared" si="0"/>
        <v>6.29</v>
      </c>
      <c r="K20" s="1">
        <f>Tabela_Piony_N[[#This Row],[hg]]-Tabela_Piony_N[[#This Row],[hd]]</f>
        <v>2.92</v>
      </c>
      <c r="L20" s="1">
        <f>PRODUCT(Tabela_Piony_N[[#This Row],[A '[m2']]],Tabela_Piony_N[[#This Row],[h '[m']]])</f>
        <v>7.9575839999999998</v>
      </c>
      <c r="M20" s="1">
        <f>PRODUCT(Tabela_Piony_N[[#This Row],[Szt.]],Tabela_Piony_N[[#This Row],[Vj '[m3']]])</f>
        <v>7.9575839999999998</v>
      </c>
      <c r="N20" s="1"/>
      <c r="O20" s="1"/>
    </row>
    <row r="21" spans="2:15" ht="15.75" customHeight="1" x14ac:dyDescent="0.3">
      <c r="B21" t="s">
        <v>201</v>
      </c>
      <c r="C21" t="s">
        <v>367</v>
      </c>
      <c r="D21" t="s">
        <v>200</v>
      </c>
      <c r="F21">
        <v>5.12</v>
      </c>
      <c r="G21">
        <v>0.18</v>
      </c>
      <c r="H21" s="1">
        <f>Tabela_Piony_N[[#This Row],[L '[m']]]*Tabela_Piony_N[[#This Row],[B '[m']]]</f>
        <v>0.92159999999999997</v>
      </c>
      <c r="I21" s="1">
        <v>3.37</v>
      </c>
      <c r="J21" s="1">
        <f t="shared" si="0"/>
        <v>6.29</v>
      </c>
      <c r="K21" s="1">
        <f>Tabela_Piony_N[[#This Row],[hg]]-Tabela_Piony_N[[#This Row],[hd]]</f>
        <v>2.92</v>
      </c>
      <c r="L21" s="1">
        <f>PRODUCT(Tabela_Piony_N[[#This Row],[A '[m2']]],Tabela_Piony_N[[#This Row],[h '[m']]])</f>
        <v>2.6910719999999997</v>
      </c>
      <c r="M21" s="1">
        <f>PRODUCT(Tabela_Piony_N[[#This Row],[Szt.]],Tabela_Piony_N[[#This Row],[Vj '[m3']]])</f>
        <v>2.6910719999999997</v>
      </c>
      <c r="N21" s="1"/>
      <c r="O21" s="1"/>
    </row>
    <row r="22" spans="2:15" ht="15.75" customHeight="1" x14ac:dyDescent="0.3">
      <c r="B22" t="s">
        <v>201</v>
      </c>
      <c r="C22" t="s">
        <v>368</v>
      </c>
      <c r="D22" t="s">
        <v>200</v>
      </c>
      <c r="F22">
        <v>15.14</v>
      </c>
      <c r="G22">
        <v>0.18</v>
      </c>
      <c r="H22" s="1">
        <f>Tabela_Piony_N[[#This Row],[L '[m']]]*Tabela_Piony_N[[#This Row],[B '[m']]]</f>
        <v>2.7252000000000001</v>
      </c>
      <c r="I22" s="1">
        <v>3.37</v>
      </c>
      <c r="J22" s="1">
        <f t="shared" si="0"/>
        <v>6.29</v>
      </c>
      <c r="K22" s="1">
        <f>Tabela_Piony_N[[#This Row],[hg]]-Tabela_Piony_N[[#This Row],[hd]]</f>
        <v>2.92</v>
      </c>
      <c r="L22" s="1">
        <f>PRODUCT(Tabela_Piony_N[[#This Row],[A '[m2']]],Tabela_Piony_N[[#This Row],[h '[m']]])</f>
        <v>7.9575839999999998</v>
      </c>
      <c r="M22" s="1">
        <f>PRODUCT(Tabela_Piony_N[[#This Row],[Szt.]],Tabela_Piony_N[[#This Row],[Vj '[m3']]])</f>
        <v>7.9575839999999998</v>
      </c>
      <c r="N22" s="1"/>
      <c r="O22" s="1"/>
    </row>
    <row r="23" spans="2:15" ht="15.75" customHeight="1" x14ac:dyDescent="0.3">
      <c r="B23" t="s">
        <v>201</v>
      </c>
      <c r="C23" t="s">
        <v>368</v>
      </c>
      <c r="D23" t="s">
        <v>200</v>
      </c>
      <c r="F23">
        <v>5.12</v>
      </c>
      <c r="G23">
        <v>0.18</v>
      </c>
      <c r="H23" s="1">
        <f>Tabela_Piony_N[[#This Row],[L '[m']]]*Tabela_Piony_N[[#This Row],[B '[m']]]</f>
        <v>0.92159999999999997</v>
      </c>
      <c r="I23" s="1">
        <v>3.37</v>
      </c>
      <c r="J23" s="1">
        <f t="shared" si="0"/>
        <v>6.29</v>
      </c>
      <c r="K23" s="1">
        <f>Tabela_Piony_N[[#This Row],[hg]]-Tabela_Piony_N[[#This Row],[hd]]</f>
        <v>2.92</v>
      </c>
      <c r="L23" s="1">
        <f>PRODUCT(Tabela_Piony_N[[#This Row],[A '[m2']]],Tabela_Piony_N[[#This Row],[h '[m']]])</f>
        <v>2.6910719999999997</v>
      </c>
      <c r="M23" s="1">
        <f>PRODUCT(Tabela_Piony_N[[#This Row],[Szt.]],Tabela_Piony_N[[#This Row],[Vj '[m3']]])</f>
        <v>2.6910719999999997</v>
      </c>
      <c r="N23" s="1"/>
      <c r="O23" s="1"/>
    </row>
    <row r="24" spans="2:15" x14ac:dyDescent="0.3">
      <c r="B24" t="s">
        <v>203</v>
      </c>
      <c r="C24" t="s">
        <v>366</v>
      </c>
      <c r="D24" t="s">
        <v>204</v>
      </c>
      <c r="E24">
        <v>16</v>
      </c>
      <c r="F24">
        <v>0.18</v>
      </c>
      <c r="G24">
        <v>0.18</v>
      </c>
      <c r="H24" s="1">
        <f>Tabela_Piony_N[[#This Row],[L '[m']]]*Tabela_Piony_N[[#This Row],[B '[m']]]</f>
        <v>3.2399999999999998E-2</v>
      </c>
      <c r="I24" s="1">
        <v>6.47</v>
      </c>
      <c r="J24" s="1">
        <v>9.39</v>
      </c>
      <c r="K24" s="1">
        <f>Tabela_Piony_N[[#This Row],[hg]]-Tabela_Piony_N[[#This Row],[hd]]</f>
        <v>2.9200000000000008</v>
      </c>
      <c r="L24" s="1">
        <f>PRODUCT(Tabela_Piony_N[[#This Row],[A '[m2']]],Tabela_Piony_N[[#This Row],[h '[m']]])</f>
        <v>9.4608000000000025E-2</v>
      </c>
      <c r="M24" s="1">
        <f>PRODUCT(Tabela_Piony_N[[#This Row],[Szt.]],Tabela_Piony_N[[#This Row],[Vj '[m3']]])</f>
        <v>1.5137280000000004</v>
      </c>
      <c r="N24" s="1"/>
      <c r="O24" s="1"/>
    </row>
    <row r="25" spans="2:15" x14ac:dyDescent="0.3">
      <c r="B25" t="s">
        <v>203</v>
      </c>
      <c r="C25" t="s">
        <v>367</v>
      </c>
      <c r="D25" t="s">
        <v>204</v>
      </c>
      <c r="E25">
        <v>23</v>
      </c>
      <c r="F25">
        <v>0.18</v>
      </c>
      <c r="G25">
        <v>0.18</v>
      </c>
      <c r="H25" s="1">
        <f>Tabela_Piony_N[[#This Row],[L '[m']]]*Tabela_Piony_N[[#This Row],[B '[m']]]</f>
        <v>3.2399999999999998E-2</v>
      </c>
      <c r="I25" s="1">
        <v>9.57</v>
      </c>
      <c r="J25" s="1">
        <v>12.49</v>
      </c>
      <c r="K25" s="1">
        <f>Tabela_Piony_N[[#This Row],[hg]]-Tabela_Piony_N[[#This Row],[hd]]</f>
        <v>2.92</v>
      </c>
      <c r="L25" s="1">
        <f>PRODUCT(Tabela_Piony_N[[#This Row],[A '[m2']]],Tabela_Piony_N[[#This Row],[h '[m']]])</f>
        <v>9.4607999999999998E-2</v>
      </c>
      <c r="M25" s="1">
        <f>PRODUCT(Tabela_Piony_N[[#This Row],[Szt.]],Tabela_Piony_N[[#This Row],[Vj '[m3']]])</f>
        <v>2.1759840000000001</v>
      </c>
      <c r="N25" s="1"/>
      <c r="O25" s="1"/>
    </row>
    <row r="26" spans="2:15" x14ac:dyDescent="0.3">
      <c r="B26" t="s">
        <v>203</v>
      </c>
      <c r="C26" t="s">
        <v>368</v>
      </c>
      <c r="D26" t="s">
        <v>204</v>
      </c>
      <c r="E26">
        <v>26</v>
      </c>
      <c r="F26">
        <v>0.18</v>
      </c>
      <c r="G26">
        <v>0.18</v>
      </c>
      <c r="H26" s="1">
        <f>Tabela_Piony_N[[#This Row],[L '[m']]]*Tabela_Piony_N[[#This Row],[B '[m']]]</f>
        <v>3.2399999999999998E-2</v>
      </c>
      <c r="I26" s="1">
        <v>12.67</v>
      </c>
      <c r="J26" s="1">
        <v>15.59</v>
      </c>
      <c r="K26" s="1">
        <f>Tabela_Piony_N[[#This Row],[hg]]-Tabela_Piony_N[[#This Row],[hd]]</f>
        <v>2.92</v>
      </c>
      <c r="L26" s="1">
        <f>PRODUCT(Tabela_Piony_N[[#This Row],[A '[m2']]],Tabela_Piony_N[[#This Row],[h '[m']]])</f>
        <v>9.4607999999999998E-2</v>
      </c>
      <c r="M26" s="1">
        <f>PRODUCT(Tabela_Piony_N[[#This Row],[Szt.]],Tabela_Piony_N[[#This Row],[Vj '[m3']]])</f>
        <v>2.4598079999999998</v>
      </c>
      <c r="N26" s="1"/>
      <c r="O26" s="1"/>
    </row>
    <row r="27" spans="2:15" x14ac:dyDescent="0.3">
      <c r="B27" t="s">
        <v>203</v>
      </c>
      <c r="C27" t="s">
        <v>365</v>
      </c>
      <c r="D27" t="s">
        <v>205</v>
      </c>
      <c r="E27">
        <v>18</v>
      </c>
      <c r="F27">
        <v>0.18</v>
      </c>
      <c r="G27">
        <v>0.18</v>
      </c>
      <c r="H27" s="1">
        <f>Tabela_Piony_N[[#This Row],[L '[m']]]*Tabela_Piony_N[[#This Row],[B '[m']]]</f>
        <v>3.2399999999999998E-2</v>
      </c>
      <c r="I27" s="1">
        <v>3.37</v>
      </c>
      <c r="J27" s="1">
        <f>6.29</f>
        <v>6.29</v>
      </c>
      <c r="K27" s="1">
        <f>Tabela_Piony_N[[#This Row],[hg]]-Tabela_Piony_N[[#This Row],[hd]]</f>
        <v>2.92</v>
      </c>
      <c r="L27" s="1">
        <f>PRODUCT(Tabela_Piony_N[[#This Row],[A '[m2']]],Tabela_Piony_N[[#This Row],[h '[m']]])</f>
        <v>9.4607999999999998E-2</v>
      </c>
      <c r="M27" s="1">
        <f>PRODUCT(Tabela_Piony_N[[#This Row],[Szt.]],Tabela_Piony_N[[#This Row],[Vj '[m3']]])</f>
        <v>1.702944</v>
      </c>
      <c r="N27" s="1"/>
      <c r="O27" s="1" t="s">
        <v>257</v>
      </c>
    </row>
    <row r="28" spans="2:15" x14ac:dyDescent="0.3">
      <c r="B28" t="s">
        <v>203</v>
      </c>
      <c r="C28" t="s">
        <v>366</v>
      </c>
      <c r="D28" t="s">
        <v>205</v>
      </c>
      <c r="E28">
        <v>9</v>
      </c>
      <c r="F28">
        <v>0.18</v>
      </c>
      <c r="G28">
        <v>0.18</v>
      </c>
      <c r="H28" s="1">
        <f>Tabela_Piony_N[[#This Row],[L '[m']]]*Tabela_Piony_N[[#This Row],[B '[m']]]</f>
        <v>3.2399999999999998E-2</v>
      </c>
      <c r="I28" s="1">
        <v>6.47</v>
      </c>
      <c r="J28" s="1">
        <v>9.39</v>
      </c>
      <c r="K28" s="1">
        <f>Tabela_Piony_N[[#This Row],[hg]]-Tabela_Piony_N[[#This Row],[hd]]</f>
        <v>2.9200000000000008</v>
      </c>
      <c r="L28" s="1">
        <f>PRODUCT(Tabela_Piony_N[[#This Row],[A '[m2']]],Tabela_Piony_N[[#This Row],[h '[m']]])</f>
        <v>9.4608000000000025E-2</v>
      </c>
      <c r="M28" s="1">
        <f>PRODUCT(Tabela_Piony_N[[#This Row],[Szt.]],Tabela_Piony_N[[#This Row],[Vj '[m3']]])</f>
        <v>0.85147200000000023</v>
      </c>
      <c r="N28" s="1"/>
      <c r="O28" s="1"/>
    </row>
    <row r="29" spans="2:15" x14ac:dyDescent="0.3">
      <c r="B29" t="s">
        <v>203</v>
      </c>
      <c r="C29" t="s">
        <v>367</v>
      </c>
      <c r="D29" t="s">
        <v>205</v>
      </c>
      <c r="E29">
        <v>5</v>
      </c>
      <c r="F29">
        <v>0.18</v>
      </c>
      <c r="G29">
        <v>0.18</v>
      </c>
      <c r="H29" s="1">
        <f>Tabela_Piony_N[[#This Row],[L '[m']]]*Tabela_Piony_N[[#This Row],[B '[m']]]</f>
        <v>3.2399999999999998E-2</v>
      </c>
      <c r="I29" s="1">
        <v>9.57</v>
      </c>
      <c r="J29" s="1">
        <v>12.49</v>
      </c>
      <c r="K29" s="1">
        <f>Tabela_Piony_N[[#This Row],[hg]]-Tabela_Piony_N[[#This Row],[hd]]</f>
        <v>2.92</v>
      </c>
      <c r="L29" s="1">
        <f>PRODUCT(Tabela_Piony_N[[#This Row],[A '[m2']]],Tabela_Piony_N[[#This Row],[h '[m']]])</f>
        <v>9.4607999999999998E-2</v>
      </c>
      <c r="M29" s="1">
        <f>PRODUCT(Tabela_Piony_N[[#This Row],[Szt.]],Tabela_Piony_N[[#This Row],[Vj '[m3']]])</f>
        <v>0.47304000000000002</v>
      </c>
      <c r="N29" s="1"/>
      <c r="O29" s="1"/>
    </row>
    <row r="30" spans="2:15" x14ac:dyDescent="0.3">
      <c r="B30" t="s">
        <v>203</v>
      </c>
      <c r="C30" t="s">
        <v>368</v>
      </c>
      <c r="D30" t="s">
        <v>205</v>
      </c>
      <c r="E30">
        <v>4</v>
      </c>
      <c r="F30">
        <v>0.18</v>
      </c>
      <c r="G30">
        <v>0.18</v>
      </c>
      <c r="H30" s="1">
        <f>Tabela_Piony_N[[#This Row],[L '[m']]]*Tabela_Piony_N[[#This Row],[B '[m']]]</f>
        <v>3.2399999999999998E-2</v>
      </c>
      <c r="I30" s="1">
        <v>12.67</v>
      </c>
      <c r="J30" s="1">
        <v>15.59</v>
      </c>
      <c r="K30" s="1">
        <f>Tabela_Piony_N[[#This Row],[hg]]-Tabela_Piony_N[[#This Row],[hd]]</f>
        <v>2.92</v>
      </c>
      <c r="L30" s="1">
        <f>PRODUCT(Tabela_Piony_N[[#This Row],[A '[m2']]],Tabela_Piony_N[[#This Row],[h '[m']]])</f>
        <v>9.4607999999999998E-2</v>
      </c>
      <c r="M30" s="1">
        <f>PRODUCT(Tabela_Piony_N[[#This Row],[Szt.]],Tabela_Piony_N[[#This Row],[Vj '[m3']]])</f>
        <v>0.37843199999999999</v>
      </c>
      <c r="N30" s="1"/>
      <c r="O30" s="1"/>
    </row>
    <row r="31" spans="2:15" x14ac:dyDescent="0.3">
      <c r="B31" t="s">
        <v>203</v>
      </c>
      <c r="C31" t="s">
        <v>365</v>
      </c>
      <c r="D31" t="s">
        <v>207</v>
      </c>
      <c r="E31">
        <v>1</v>
      </c>
      <c r="F31">
        <v>0.18</v>
      </c>
      <c r="G31">
        <v>0.28999999999999998</v>
      </c>
      <c r="H31" s="1">
        <f>Tabela_Piony_N[[#This Row],[L '[m']]]*Tabela_Piony_N[[#This Row],[B '[m']]]</f>
        <v>5.2199999999999996E-2</v>
      </c>
      <c r="I31" s="1">
        <v>3.37</v>
      </c>
      <c r="J31" s="1">
        <f>6.29</f>
        <v>6.29</v>
      </c>
      <c r="K31" s="1">
        <f>Tabela_Piony_N[[#This Row],[hg]]-Tabela_Piony_N[[#This Row],[hd]]</f>
        <v>2.92</v>
      </c>
      <c r="L31" s="1">
        <f>PRODUCT(Tabela_Piony_N[[#This Row],[A '[m2']]],Tabela_Piony_N[[#This Row],[h '[m']]])</f>
        <v>0.15242399999999998</v>
      </c>
      <c r="M31" s="1">
        <f>PRODUCT(Tabela_Piony_N[[#This Row],[Szt.]],Tabela_Piony_N[[#This Row],[Vj '[m3']]])</f>
        <v>0.15242399999999998</v>
      </c>
      <c r="N31" s="1"/>
      <c r="O31" s="1"/>
    </row>
    <row r="32" spans="2:15" x14ac:dyDescent="0.3">
      <c r="B32" t="s">
        <v>203</v>
      </c>
      <c r="C32" t="s">
        <v>366</v>
      </c>
      <c r="D32" t="s">
        <v>206</v>
      </c>
      <c r="E32">
        <v>1</v>
      </c>
      <c r="F32">
        <v>0.18</v>
      </c>
      <c r="G32">
        <v>0.18</v>
      </c>
      <c r="H32" s="1">
        <f>Tabela_Piony_N[[#This Row],[L '[m']]]*Tabela_Piony_N[[#This Row],[B '[m']]]</f>
        <v>3.2399999999999998E-2</v>
      </c>
      <c r="I32" s="1">
        <v>6.47</v>
      </c>
      <c r="J32" s="1">
        <v>9.39</v>
      </c>
      <c r="K32" s="1">
        <f>Tabela_Piony_N[[#This Row],[hg]]-Tabela_Piony_N[[#This Row],[hd]]</f>
        <v>2.9200000000000008</v>
      </c>
      <c r="L32" s="1">
        <f>PRODUCT(Tabela_Piony_N[[#This Row],[A '[m2']]],Tabela_Piony_N[[#This Row],[h '[m']]])</f>
        <v>9.4608000000000025E-2</v>
      </c>
      <c r="M32" s="1">
        <f>PRODUCT(Tabela_Piony_N[[#This Row],[Szt.]],Tabela_Piony_N[[#This Row],[Vj '[m3']]])</f>
        <v>9.4608000000000025E-2</v>
      </c>
      <c r="N32" s="1"/>
      <c r="O32" s="1"/>
    </row>
    <row r="33" spans="2:15" x14ac:dyDescent="0.3">
      <c r="B33" t="s">
        <v>203</v>
      </c>
      <c r="C33" t="s">
        <v>367</v>
      </c>
      <c r="D33" t="s">
        <v>206</v>
      </c>
      <c r="E33">
        <v>1</v>
      </c>
      <c r="F33">
        <v>0.18</v>
      </c>
      <c r="G33">
        <v>0.18</v>
      </c>
      <c r="H33" s="1">
        <f>Tabela_Piony_N[[#This Row],[L '[m']]]*Tabela_Piony_N[[#This Row],[B '[m']]]</f>
        <v>3.2399999999999998E-2</v>
      </c>
      <c r="I33" s="1">
        <v>9.57</v>
      </c>
      <c r="J33" s="1">
        <v>12.49</v>
      </c>
      <c r="K33" s="1">
        <f>Tabela_Piony_N[[#This Row],[hg]]-Tabela_Piony_N[[#This Row],[hd]]</f>
        <v>2.92</v>
      </c>
      <c r="L33" s="1">
        <f>PRODUCT(Tabela_Piony_N[[#This Row],[A '[m2']]],Tabela_Piony_N[[#This Row],[h '[m']]])</f>
        <v>9.4607999999999998E-2</v>
      </c>
      <c r="M33" s="1">
        <f>PRODUCT(Tabela_Piony_N[[#This Row],[Szt.]],Tabela_Piony_N[[#This Row],[Vj '[m3']]])</f>
        <v>9.4607999999999998E-2</v>
      </c>
      <c r="N33" s="1"/>
      <c r="O33" s="1"/>
    </row>
    <row r="34" spans="2:15" x14ac:dyDescent="0.3">
      <c r="B34" t="s">
        <v>203</v>
      </c>
      <c r="C34" t="s">
        <v>368</v>
      </c>
      <c r="D34" t="s">
        <v>206</v>
      </c>
      <c r="E34">
        <v>1</v>
      </c>
      <c r="F34">
        <v>0.18</v>
      </c>
      <c r="G34">
        <v>0.18</v>
      </c>
      <c r="H34" s="1">
        <f>Tabela_Piony_N[[#This Row],[L '[m']]]*Tabela_Piony_N[[#This Row],[B '[m']]]</f>
        <v>3.2399999999999998E-2</v>
      </c>
      <c r="I34" s="1">
        <v>12.67</v>
      </c>
      <c r="J34" s="1">
        <v>15.59</v>
      </c>
      <c r="K34" s="1">
        <f>Tabela_Piony_N[[#This Row],[hg]]-Tabela_Piony_N[[#This Row],[hd]]</f>
        <v>2.92</v>
      </c>
      <c r="L34" s="1">
        <f>PRODUCT(Tabela_Piony_N[[#This Row],[A '[m2']]],Tabela_Piony_N[[#This Row],[h '[m']]])</f>
        <v>9.4607999999999998E-2</v>
      </c>
      <c r="M34" s="1">
        <f>PRODUCT(Tabela_Piony_N[[#This Row],[Szt.]],Tabela_Piony_N[[#This Row],[Vj '[m3']]])</f>
        <v>9.4607999999999998E-2</v>
      </c>
      <c r="N34" s="1"/>
      <c r="O34" s="1"/>
    </row>
    <row r="35" spans="2:15" x14ac:dyDescent="0.3">
      <c r="B35" t="s">
        <v>203</v>
      </c>
      <c r="C35" t="s">
        <v>368</v>
      </c>
      <c r="D35" t="s">
        <v>207</v>
      </c>
      <c r="E35">
        <v>1</v>
      </c>
      <c r="F35">
        <v>0.18</v>
      </c>
      <c r="G35">
        <v>0.28999999999999998</v>
      </c>
      <c r="H35" s="1">
        <f>Tabela_Piony_N[[#This Row],[L '[m']]]*Tabela_Piony_N[[#This Row],[B '[m']]]</f>
        <v>5.2199999999999996E-2</v>
      </c>
      <c r="I35" s="1">
        <v>12.67</v>
      </c>
      <c r="J35" s="1">
        <v>15.59</v>
      </c>
      <c r="K35" s="1">
        <f>Tabela_Piony_N[[#This Row],[hg]]-Tabela_Piony_N[[#This Row],[hd]]</f>
        <v>2.92</v>
      </c>
      <c r="L35" s="1">
        <f>PRODUCT(Tabela_Piony_N[[#This Row],[A '[m2']]],Tabela_Piony_N[[#This Row],[h '[m']]])</f>
        <v>0.15242399999999998</v>
      </c>
      <c r="M35" s="1">
        <f>PRODUCT(Tabela_Piony_N[[#This Row],[Szt.]],Tabela_Piony_N[[#This Row],[Vj '[m3']]])</f>
        <v>0.15242399999999998</v>
      </c>
      <c r="N35" s="1"/>
      <c r="O35" s="1"/>
    </row>
    <row r="36" spans="2:15" x14ac:dyDescent="0.3">
      <c r="B36" t="s">
        <v>203</v>
      </c>
      <c r="C36" t="s">
        <v>365</v>
      </c>
      <c r="D36" t="s">
        <v>209</v>
      </c>
      <c r="E36">
        <v>1</v>
      </c>
      <c r="F36">
        <v>0.18</v>
      </c>
      <c r="G36">
        <v>0.35</v>
      </c>
      <c r="H36" s="1">
        <f>Tabela_Piony_N[[#This Row],[L '[m']]]*Tabela_Piony_N[[#This Row],[B '[m']]]</f>
        <v>6.3E-2</v>
      </c>
      <c r="I36" s="1">
        <v>3.37</v>
      </c>
      <c r="J36" s="1">
        <f>6.29</f>
        <v>6.29</v>
      </c>
      <c r="K36" s="1">
        <f>Tabela_Piony_N[[#This Row],[hg]]-Tabela_Piony_N[[#This Row],[hd]]</f>
        <v>2.92</v>
      </c>
      <c r="L36" s="1">
        <f>PRODUCT(Tabela_Piony_N[[#This Row],[A '[m2']]],Tabela_Piony_N[[#This Row],[h '[m']]])</f>
        <v>0.18395999999999998</v>
      </c>
      <c r="M36" s="1">
        <f>PRODUCT(Tabela_Piony_N[[#This Row],[Szt.]],Tabela_Piony_N[[#This Row],[Vj '[m3']]])</f>
        <v>0.18395999999999998</v>
      </c>
      <c r="N36" s="1"/>
      <c r="O36" s="1"/>
    </row>
    <row r="37" spans="2:15" x14ac:dyDescent="0.3">
      <c r="B37" t="s">
        <v>203</v>
      </c>
      <c r="C37" t="s">
        <v>366</v>
      </c>
      <c r="D37" t="s">
        <v>208</v>
      </c>
      <c r="E37">
        <v>1</v>
      </c>
      <c r="F37">
        <f>0.18</f>
        <v>0.18</v>
      </c>
      <c r="G37">
        <v>0.35</v>
      </c>
      <c r="H37" s="1">
        <f>Tabela_Piony_N[[#This Row],[L '[m']]]*Tabela_Piony_N[[#This Row],[B '[m']]]</f>
        <v>6.3E-2</v>
      </c>
      <c r="I37" s="1">
        <v>6.47</v>
      </c>
      <c r="J37" s="1">
        <v>9.39</v>
      </c>
      <c r="K37" s="1">
        <f>Tabela_Piony_N[[#This Row],[hg]]-Tabela_Piony_N[[#This Row],[hd]]</f>
        <v>2.9200000000000008</v>
      </c>
      <c r="L37" s="1">
        <f>PRODUCT(Tabela_Piony_N[[#This Row],[A '[m2']]],Tabela_Piony_N[[#This Row],[h '[m']]])</f>
        <v>0.18396000000000004</v>
      </c>
      <c r="M37" s="1">
        <f>PRODUCT(Tabela_Piony_N[[#This Row],[Szt.]],Tabela_Piony_N[[#This Row],[Vj '[m3']]])</f>
        <v>0.18396000000000004</v>
      </c>
      <c r="N37" s="1"/>
      <c r="O37" s="1"/>
    </row>
    <row r="38" spans="2:15" x14ac:dyDescent="0.3">
      <c r="B38" t="s">
        <v>203</v>
      </c>
      <c r="C38" t="s">
        <v>367</v>
      </c>
      <c r="D38" t="s">
        <v>208</v>
      </c>
      <c r="E38">
        <v>1</v>
      </c>
      <c r="F38">
        <f>0.18</f>
        <v>0.18</v>
      </c>
      <c r="G38">
        <v>0.35</v>
      </c>
      <c r="H38" s="1">
        <f>Tabela_Piony_N[[#This Row],[L '[m']]]*Tabela_Piony_N[[#This Row],[B '[m']]]</f>
        <v>6.3E-2</v>
      </c>
      <c r="I38" s="1">
        <v>9.57</v>
      </c>
      <c r="J38" s="1">
        <v>12.49</v>
      </c>
      <c r="K38" s="1">
        <f>Tabela_Piony_N[[#This Row],[hg]]-Tabela_Piony_N[[#This Row],[hd]]</f>
        <v>2.92</v>
      </c>
      <c r="L38" s="1">
        <f>PRODUCT(Tabela_Piony_N[[#This Row],[A '[m2']]],Tabela_Piony_N[[#This Row],[h '[m']]])</f>
        <v>0.18395999999999998</v>
      </c>
      <c r="M38" s="1">
        <f>PRODUCT(Tabela_Piony_N[[#This Row],[Szt.]],Tabela_Piony_N[[#This Row],[Vj '[m3']]])</f>
        <v>0.18395999999999998</v>
      </c>
      <c r="N38" s="1"/>
      <c r="O38" s="1"/>
    </row>
    <row r="39" spans="2:15" x14ac:dyDescent="0.3">
      <c r="B39" t="s">
        <v>203</v>
      </c>
      <c r="C39" t="s">
        <v>368</v>
      </c>
      <c r="D39" t="s">
        <v>208</v>
      </c>
      <c r="E39">
        <v>1</v>
      </c>
      <c r="F39">
        <f>0.18</f>
        <v>0.18</v>
      </c>
      <c r="G39">
        <v>0.35</v>
      </c>
      <c r="H39" s="1">
        <f>Tabela_Piony_N[[#This Row],[L '[m']]]*Tabela_Piony_N[[#This Row],[B '[m']]]</f>
        <v>6.3E-2</v>
      </c>
      <c r="I39" s="1">
        <v>12.67</v>
      </c>
      <c r="J39" s="1">
        <v>15.59</v>
      </c>
      <c r="K39" s="1">
        <f>Tabela_Piony_N[[#This Row],[hg]]-Tabela_Piony_N[[#This Row],[hd]]</f>
        <v>2.92</v>
      </c>
      <c r="L39" s="1">
        <f>PRODUCT(Tabela_Piony_N[[#This Row],[A '[m2']]],Tabela_Piony_N[[#This Row],[h '[m']]])</f>
        <v>0.18395999999999998</v>
      </c>
      <c r="M39" s="1">
        <f>PRODUCT(Tabela_Piony_N[[#This Row],[Szt.]],Tabela_Piony_N[[#This Row],[Vj '[m3']]])</f>
        <v>0.18395999999999998</v>
      </c>
      <c r="N39" s="1"/>
      <c r="O39" s="1"/>
    </row>
    <row r="40" spans="2:15" x14ac:dyDescent="0.3">
      <c r="B40" t="s">
        <v>203</v>
      </c>
      <c r="C40" t="s">
        <v>365</v>
      </c>
      <c r="D40" t="s">
        <v>211</v>
      </c>
      <c r="E40">
        <v>2</v>
      </c>
      <c r="F40">
        <v>0.18</v>
      </c>
      <c r="G40">
        <v>0.42</v>
      </c>
      <c r="H40" s="1">
        <f>Tabela_Piony_N[[#This Row],[L '[m']]]*Tabela_Piony_N[[#This Row],[B '[m']]]</f>
        <v>7.5600000000000001E-2</v>
      </c>
      <c r="I40" s="1">
        <v>3.37</v>
      </c>
      <c r="J40" s="1">
        <f>6.29</f>
        <v>6.29</v>
      </c>
      <c r="K40" s="1">
        <f>Tabela_Piony_N[[#This Row],[hg]]-Tabela_Piony_N[[#This Row],[hd]]</f>
        <v>2.92</v>
      </c>
      <c r="L40" s="1">
        <f>PRODUCT(Tabela_Piony_N[[#This Row],[A '[m2']]],Tabela_Piony_N[[#This Row],[h '[m']]])</f>
        <v>0.220752</v>
      </c>
      <c r="M40" s="1">
        <f>PRODUCT(Tabela_Piony_N[[#This Row],[Szt.]],Tabela_Piony_N[[#This Row],[Vj '[m3']]])</f>
        <v>0.44150400000000001</v>
      </c>
      <c r="N40" s="1"/>
      <c r="O40" s="1"/>
    </row>
    <row r="41" spans="2:15" x14ac:dyDescent="0.3">
      <c r="B41" t="s">
        <v>203</v>
      </c>
      <c r="C41" t="s">
        <v>366</v>
      </c>
      <c r="D41" t="s">
        <v>210</v>
      </c>
      <c r="E41">
        <v>2</v>
      </c>
      <c r="F41">
        <f>0.18</f>
        <v>0.18</v>
      </c>
      <c r="G41">
        <v>0.42</v>
      </c>
      <c r="H41" s="1">
        <f>Tabela_Piony_N[[#This Row],[L '[m']]]*Tabela_Piony_N[[#This Row],[B '[m']]]</f>
        <v>7.5600000000000001E-2</v>
      </c>
      <c r="I41" s="1">
        <v>6.47</v>
      </c>
      <c r="J41" s="1">
        <v>9.39</v>
      </c>
      <c r="K41" s="1">
        <f>Tabela_Piony_N[[#This Row],[hg]]-Tabela_Piony_N[[#This Row],[hd]]</f>
        <v>2.9200000000000008</v>
      </c>
      <c r="L41" s="1">
        <f>PRODUCT(Tabela_Piony_N[[#This Row],[A '[m2']]],Tabela_Piony_N[[#This Row],[h '[m']]])</f>
        <v>0.22075200000000006</v>
      </c>
      <c r="M41" s="1">
        <f>PRODUCT(Tabela_Piony_N[[#This Row],[Szt.]],Tabela_Piony_N[[#This Row],[Vj '[m3']]])</f>
        <v>0.44150400000000012</v>
      </c>
      <c r="N41" s="1"/>
      <c r="O41" s="1"/>
    </row>
    <row r="42" spans="2:15" x14ac:dyDescent="0.3">
      <c r="B42" t="s">
        <v>203</v>
      </c>
      <c r="C42" t="s">
        <v>367</v>
      </c>
      <c r="D42" t="s">
        <v>210</v>
      </c>
      <c r="E42">
        <v>2</v>
      </c>
      <c r="F42">
        <f>0.18</f>
        <v>0.18</v>
      </c>
      <c r="G42">
        <v>0.42</v>
      </c>
      <c r="H42" s="1">
        <f>Tabela_Piony_N[[#This Row],[L '[m']]]*Tabela_Piony_N[[#This Row],[B '[m']]]</f>
        <v>7.5600000000000001E-2</v>
      </c>
      <c r="I42" s="1">
        <v>9.57</v>
      </c>
      <c r="J42" s="1">
        <v>12.49</v>
      </c>
      <c r="K42" s="1">
        <f>Tabela_Piony_N[[#This Row],[hg]]-Tabela_Piony_N[[#This Row],[hd]]</f>
        <v>2.92</v>
      </c>
      <c r="L42" s="1">
        <f>PRODUCT(Tabela_Piony_N[[#This Row],[A '[m2']]],Tabela_Piony_N[[#This Row],[h '[m']]])</f>
        <v>0.220752</v>
      </c>
      <c r="M42" s="1">
        <f>PRODUCT(Tabela_Piony_N[[#This Row],[Szt.]],Tabela_Piony_N[[#This Row],[Vj '[m3']]])</f>
        <v>0.44150400000000001</v>
      </c>
      <c r="N42" s="1"/>
      <c r="O42" s="1"/>
    </row>
    <row r="43" spans="2:15" x14ac:dyDescent="0.3">
      <c r="B43" t="s">
        <v>203</v>
      </c>
      <c r="C43" t="s">
        <v>368</v>
      </c>
      <c r="D43" t="s">
        <v>210</v>
      </c>
      <c r="E43">
        <v>3</v>
      </c>
      <c r="F43">
        <f>0.18</f>
        <v>0.18</v>
      </c>
      <c r="G43">
        <v>0.42</v>
      </c>
      <c r="H43" s="1">
        <f>Tabela_Piony_N[[#This Row],[L '[m']]]*Tabela_Piony_N[[#This Row],[B '[m']]]</f>
        <v>7.5600000000000001E-2</v>
      </c>
      <c r="I43" s="1">
        <v>12.67</v>
      </c>
      <c r="J43" s="1">
        <v>15.59</v>
      </c>
      <c r="K43" s="1">
        <f>Tabela_Piony_N[[#This Row],[hg]]-Tabela_Piony_N[[#This Row],[hd]]</f>
        <v>2.92</v>
      </c>
      <c r="L43" s="1">
        <f>PRODUCT(Tabela_Piony_N[[#This Row],[A '[m2']]],Tabela_Piony_N[[#This Row],[h '[m']]])</f>
        <v>0.220752</v>
      </c>
      <c r="M43" s="1">
        <f>PRODUCT(Tabela_Piony_N[[#This Row],[Szt.]],Tabela_Piony_N[[#This Row],[Vj '[m3']]])</f>
        <v>0.66225599999999996</v>
      </c>
      <c r="N43" s="1"/>
      <c r="O43" s="1"/>
    </row>
    <row r="44" spans="2:15" x14ac:dyDescent="0.3">
      <c r="B44" t="s">
        <v>203</v>
      </c>
      <c r="C44" t="s">
        <v>367</v>
      </c>
      <c r="D44" t="s">
        <v>211</v>
      </c>
      <c r="E44">
        <v>1</v>
      </c>
      <c r="F44">
        <v>0.18</v>
      </c>
      <c r="G44">
        <v>0.42</v>
      </c>
      <c r="H44" s="1">
        <f>Tabela_Piony_N[[#This Row],[L '[m']]]*Tabela_Piony_N[[#This Row],[B '[m']]]</f>
        <v>7.5600000000000001E-2</v>
      </c>
      <c r="I44" s="1">
        <v>9.57</v>
      </c>
      <c r="J44" s="1">
        <v>12.49</v>
      </c>
      <c r="K44" s="1">
        <f>Tabela_Piony_N[[#This Row],[hg]]-Tabela_Piony_N[[#This Row],[hd]]</f>
        <v>2.92</v>
      </c>
      <c r="L44" s="1">
        <f>PRODUCT(Tabela_Piony_N[[#This Row],[A '[m2']]],Tabela_Piony_N[[#This Row],[h '[m']]])</f>
        <v>0.220752</v>
      </c>
      <c r="M44" s="1">
        <f>PRODUCT(Tabela_Piony_N[[#This Row],[Szt.]],Tabela_Piony_N[[#This Row],[Vj '[m3']]])</f>
        <v>0.220752</v>
      </c>
      <c r="N44" s="1"/>
      <c r="O44" s="1"/>
    </row>
    <row r="45" spans="2:15" x14ac:dyDescent="0.3">
      <c r="B45" t="s">
        <v>203</v>
      </c>
      <c r="C45" t="s">
        <v>365</v>
      </c>
      <c r="D45" t="s">
        <v>213</v>
      </c>
      <c r="E45">
        <v>1</v>
      </c>
      <c r="F45">
        <f>0.18</f>
        <v>0.18</v>
      </c>
      <c r="G45">
        <v>0.57999999999999996</v>
      </c>
      <c r="H45" s="1">
        <f>Tabela_Piony_N[[#This Row],[L '[m']]]*Tabela_Piony_N[[#This Row],[B '[m']]]</f>
        <v>0.10439999999999999</v>
      </c>
      <c r="I45" s="1">
        <v>3.37</v>
      </c>
      <c r="J45" s="1">
        <v>5.79</v>
      </c>
      <c r="K45" s="1">
        <f>Tabela_Piony_N[[#This Row],[hg]]-Tabela_Piony_N[[#This Row],[hd]]</f>
        <v>2.42</v>
      </c>
      <c r="L45" s="1">
        <f>PRODUCT(Tabela_Piony_N[[#This Row],[A '[m2']]],Tabela_Piony_N[[#This Row],[h '[m']]])</f>
        <v>0.25264799999999998</v>
      </c>
      <c r="M45" s="1">
        <f>PRODUCT(Tabela_Piony_N[[#This Row],[Szt.]],Tabela_Piony_N[[#This Row],[Vj '[m3']]])</f>
        <v>0.25264799999999998</v>
      </c>
      <c r="N45" s="1" t="s">
        <v>230</v>
      </c>
      <c r="O45" s="1"/>
    </row>
    <row r="46" spans="2:15" x14ac:dyDescent="0.3">
      <c r="B46" t="s">
        <v>203</v>
      </c>
      <c r="C46" t="s">
        <v>366</v>
      </c>
      <c r="D46" t="s">
        <v>213</v>
      </c>
      <c r="E46">
        <v>1</v>
      </c>
      <c r="F46">
        <f t="shared" ref="F46:F48" si="1">0.18</f>
        <v>0.18</v>
      </c>
      <c r="G46">
        <v>0.57999999999999996</v>
      </c>
      <c r="H46" s="1">
        <f>Tabela_Piony_N[[#This Row],[L '[m']]]*Tabela_Piony_N[[#This Row],[B '[m']]]</f>
        <v>0.10439999999999999</v>
      </c>
      <c r="I46" s="1">
        <v>6.47</v>
      </c>
      <c r="J46" s="1">
        <f>9.39-0.5</f>
        <v>8.89</v>
      </c>
      <c r="K46" s="1">
        <f>Tabela_Piony_N[[#This Row],[hg]]-Tabela_Piony_N[[#This Row],[hd]]</f>
        <v>2.4200000000000008</v>
      </c>
      <c r="L46" s="1">
        <f>PRODUCT(Tabela_Piony_N[[#This Row],[A '[m2']]],Tabela_Piony_N[[#This Row],[h '[m']]])</f>
        <v>0.25264800000000009</v>
      </c>
      <c r="M46" s="1">
        <f>PRODUCT(Tabela_Piony_N[[#This Row],[Szt.]],Tabela_Piony_N[[#This Row],[Vj '[m3']]])</f>
        <v>0.25264800000000009</v>
      </c>
      <c r="N46" s="1" t="s">
        <v>265</v>
      </c>
      <c r="O46" s="1"/>
    </row>
    <row r="47" spans="2:15" x14ac:dyDescent="0.3">
      <c r="B47" t="s">
        <v>203</v>
      </c>
      <c r="C47" t="s">
        <v>367</v>
      </c>
      <c r="D47" t="s">
        <v>213</v>
      </c>
      <c r="E47">
        <v>1</v>
      </c>
      <c r="F47">
        <f t="shared" si="1"/>
        <v>0.18</v>
      </c>
      <c r="G47">
        <v>0.57999999999999996</v>
      </c>
      <c r="H47" s="1">
        <f>Tabela_Piony_N[[#This Row],[L '[m']]]*Tabela_Piony_N[[#This Row],[B '[m']]]</f>
        <v>0.10439999999999999</v>
      </c>
      <c r="I47" s="1">
        <v>9.57</v>
      </c>
      <c r="J47" s="1">
        <f>12.49-0.5</f>
        <v>11.99</v>
      </c>
      <c r="K47" s="1">
        <f>Tabela_Piony_N[[#This Row],[hg]]-Tabela_Piony_N[[#This Row],[hd]]</f>
        <v>2.42</v>
      </c>
      <c r="L47" s="1">
        <f>PRODUCT(Tabela_Piony_N[[#This Row],[A '[m2']]],Tabela_Piony_N[[#This Row],[h '[m']]])</f>
        <v>0.25264799999999998</v>
      </c>
      <c r="M47" s="1">
        <f>PRODUCT(Tabela_Piony_N[[#This Row],[Szt.]],Tabela_Piony_N[[#This Row],[Vj '[m3']]])</f>
        <v>0.25264799999999998</v>
      </c>
      <c r="N47" s="1" t="s">
        <v>265</v>
      </c>
      <c r="O47" s="1"/>
    </row>
    <row r="48" spans="2:15" x14ac:dyDescent="0.3">
      <c r="B48" t="s">
        <v>203</v>
      </c>
      <c r="C48" t="s">
        <v>368</v>
      </c>
      <c r="D48" t="s">
        <v>213</v>
      </c>
      <c r="E48">
        <v>1</v>
      </c>
      <c r="F48">
        <f t="shared" si="1"/>
        <v>0.18</v>
      </c>
      <c r="G48">
        <v>0.57999999999999996</v>
      </c>
      <c r="H48" s="1">
        <f>Tabela_Piony_N[[#This Row],[L '[m']]]*Tabela_Piony_N[[#This Row],[B '[m']]]</f>
        <v>0.10439999999999999</v>
      </c>
      <c r="I48" s="1">
        <v>12.67</v>
      </c>
      <c r="J48" s="1">
        <f>15.59-0.5</f>
        <v>15.09</v>
      </c>
      <c r="K48" s="1">
        <f>Tabela_Piony_N[[#This Row],[hg]]-Tabela_Piony_N[[#This Row],[hd]]</f>
        <v>2.42</v>
      </c>
      <c r="L48" s="1">
        <f>PRODUCT(Tabela_Piony_N[[#This Row],[A '[m2']]],Tabela_Piony_N[[#This Row],[h '[m']]])</f>
        <v>0.25264799999999998</v>
      </c>
      <c r="M48" s="1">
        <f>PRODUCT(Tabela_Piony_N[[#This Row],[Szt.]],Tabela_Piony_N[[#This Row],[Vj '[m3']]])</f>
        <v>0.25264799999999998</v>
      </c>
      <c r="N48" s="1" t="s">
        <v>265</v>
      </c>
      <c r="O48" s="1"/>
    </row>
    <row r="49" spans="2:15" x14ac:dyDescent="0.3">
      <c r="B49" t="s">
        <v>203</v>
      </c>
      <c r="C49" t="s">
        <v>366</v>
      </c>
      <c r="D49" t="s">
        <v>212</v>
      </c>
      <c r="E49">
        <v>1</v>
      </c>
      <c r="F49">
        <f t="shared" ref="F49:F51" si="2">0.18</f>
        <v>0.18</v>
      </c>
      <c r="G49">
        <v>0.37</v>
      </c>
      <c r="H49" s="1">
        <f>Tabela_Piony_N[[#This Row],[L '[m']]]*Tabela_Piony_N[[#This Row],[B '[m']]]</f>
        <v>6.6599999999999993E-2</v>
      </c>
      <c r="I49" s="1">
        <v>6.47</v>
      </c>
      <c r="J49" s="1">
        <v>9.39</v>
      </c>
      <c r="K49" s="1">
        <f>Tabela_Piony_N[[#This Row],[hg]]-Tabela_Piony_N[[#This Row],[hd]]</f>
        <v>2.9200000000000008</v>
      </c>
      <c r="L49" s="1">
        <f>PRODUCT(Tabela_Piony_N[[#This Row],[A '[m2']]],Tabela_Piony_N[[#This Row],[h '[m']]])</f>
        <v>0.19447200000000003</v>
      </c>
      <c r="M49" s="1">
        <f>PRODUCT(Tabela_Piony_N[[#This Row],[Szt.]],Tabela_Piony_N[[#This Row],[Vj '[m3']]])</f>
        <v>0.19447200000000003</v>
      </c>
      <c r="N49" s="1"/>
      <c r="O49" s="1"/>
    </row>
    <row r="50" spans="2:15" x14ac:dyDescent="0.3">
      <c r="B50" t="s">
        <v>203</v>
      </c>
      <c r="C50" t="s">
        <v>367</v>
      </c>
      <c r="D50" t="s">
        <v>212</v>
      </c>
      <c r="E50">
        <v>1</v>
      </c>
      <c r="F50">
        <f t="shared" si="2"/>
        <v>0.18</v>
      </c>
      <c r="G50">
        <v>0.37</v>
      </c>
      <c r="H50" s="1">
        <f>Tabela_Piony_N[[#This Row],[L '[m']]]*Tabela_Piony_N[[#This Row],[B '[m']]]</f>
        <v>6.6599999999999993E-2</v>
      </c>
      <c r="I50" s="1">
        <v>9.57</v>
      </c>
      <c r="J50" s="1">
        <v>12.49</v>
      </c>
      <c r="K50" s="1">
        <f>Tabela_Piony_N[[#This Row],[hg]]-Tabela_Piony_N[[#This Row],[hd]]</f>
        <v>2.92</v>
      </c>
      <c r="L50" s="1">
        <f>PRODUCT(Tabela_Piony_N[[#This Row],[A '[m2']]],Tabela_Piony_N[[#This Row],[h '[m']]])</f>
        <v>0.19447199999999998</v>
      </c>
      <c r="M50" s="1">
        <f>PRODUCT(Tabela_Piony_N[[#This Row],[Szt.]],Tabela_Piony_N[[#This Row],[Vj '[m3']]])</f>
        <v>0.19447199999999998</v>
      </c>
      <c r="N50" s="1"/>
      <c r="O50" s="1"/>
    </row>
    <row r="51" spans="2:15" x14ac:dyDescent="0.3">
      <c r="B51" t="s">
        <v>203</v>
      </c>
      <c r="C51" t="s">
        <v>368</v>
      </c>
      <c r="D51" t="s">
        <v>212</v>
      </c>
      <c r="E51">
        <v>1</v>
      </c>
      <c r="F51">
        <f t="shared" si="2"/>
        <v>0.18</v>
      </c>
      <c r="G51">
        <v>0.37</v>
      </c>
      <c r="H51" s="1">
        <f>Tabela_Piony_N[[#This Row],[L '[m']]]*Tabela_Piony_N[[#This Row],[B '[m']]]</f>
        <v>6.6599999999999993E-2</v>
      </c>
      <c r="I51" s="1">
        <v>12.67</v>
      </c>
      <c r="J51" s="1">
        <v>15.59</v>
      </c>
      <c r="K51" s="1">
        <f>Tabela_Piony_N[[#This Row],[hg]]-Tabela_Piony_N[[#This Row],[hd]]</f>
        <v>2.92</v>
      </c>
      <c r="L51" s="1">
        <f>PRODUCT(Tabela_Piony_N[[#This Row],[A '[m2']]],Tabela_Piony_N[[#This Row],[h '[m']]])</f>
        <v>0.19447199999999998</v>
      </c>
      <c r="M51" s="1">
        <f>PRODUCT(Tabela_Piony_N[[#This Row],[Szt.]],Tabela_Piony_N[[#This Row],[Vj '[m3']]])</f>
        <v>0.19447199999999998</v>
      </c>
      <c r="N51" s="1"/>
      <c r="O51" s="1"/>
    </row>
    <row r="52" spans="2:15" x14ac:dyDescent="0.3">
      <c r="B52" t="s">
        <v>203</v>
      </c>
      <c r="C52" t="s">
        <v>365</v>
      </c>
      <c r="D52" t="s">
        <v>214</v>
      </c>
      <c r="E52">
        <v>1</v>
      </c>
      <c r="F52">
        <v>0.18</v>
      </c>
      <c r="G52">
        <v>0.37</v>
      </c>
      <c r="H52" s="1">
        <f>Tabela_Piony_N[[#This Row],[L '[m']]]*Tabela_Piony_N[[#This Row],[B '[m']]]</f>
        <v>6.6599999999999993E-2</v>
      </c>
      <c r="I52" s="1">
        <v>3.37</v>
      </c>
      <c r="J52" s="1">
        <f>6.29</f>
        <v>6.29</v>
      </c>
      <c r="K52" s="1">
        <f>Tabela_Piony_N[[#This Row],[hg]]-Tabela_Piony_N[[#This Row],[hd]]</f>
        <v>2.92</v>
      </c>
      <c r="L52" s="1">
        <f>PRODUCT(Tabela_Piony_N[[#This Row],[A '[m2']]],Tabela_Piony_N[[#This Row],[h '[m']]])</f>
        <v>0.19447199999999998</v>
      </c>
      <c r="M52" s="1">
        <f>PRODUCT(Tabela_Piony_N[[#This Row],[Szt.]],Tabela_Piony_N[[#This Row],[Vj '[m3']]])</f>
        <v>0.19447199999999998</v>
      </c>
      <c r="N52" s="1"/>
      <c r="O52" s="1"/>
    </row>
    <row r="53" spans="2:15" x14ac:dyDescent="0.3">
      <c r="B53" t="s">
        <v>203</v>
      </c>
      <c r="C53" t="s">
        <v>365</v>
      </c>
      <c r="D53" t="s">
        <v>216</v>
      </c>
      <c r="E53">
        <v>2</v>
      </c>
      <c r="F53">
        <v>0.18</v>
      </c>
      <c r="G53">
        <v>0.83</v>
      </c>
      <c r="H53" s="1">
        <f>Tabela_Piony_N[[#This Row],[L '[m']]]*Tabela_Piony_N[[#This Row],[B '[m']]]</f>
        <v>0.14939999999999998</v>
      </c>
      <c r="I53" s="1">
        <v>3.37</v>
      </c>
      <c r="J53" s="1">
        <f>6.29</f>
        <v>6.29</v>
      </c>
      <c r="K53" s="1">
        <f>Tabela_Piony_N[[#This Row],[hg]]-Tabela_Piony_N[[#This Row],[hd]]</f>
        <v>2.92</v>
      </c>
      <c r="L53" s="1">
        <f>PRODUCT(Tabela_Piony_N[[#This Row],[A '[m2']]],Tabela_Piony_N[[#This Row],[h '[m']]])</f>
        <v>0.43624799999999991</v>
      </c>
      <c r="M53" s="1">
        <f>PRODUCT(Tabela_Piony_N[[#This Row],[Szt.]],Tabela_Piony_N[[#This Row],[Vj '[m3']]])</f>
        <v>0.87249599999999983</v>
      </c>
      <c r="N53" s="1"/>
      <c r="O53" s="1"/>
    </row>
    <row r="54" spans="2:15" x14ac:dyDescent="0.3">
      <c r="B54" t="s">
        <v>203</v>
      </c>
      <c r="C54" t="s">
        <v>365</v>
      </c>
      <c r="D54" t="s">
        <v>217</v>
      </c>
      <c r="E54">
        <v>1</v>
      </c>
      <c r="F54">
        <v>0.18</v>
      </c>
      <c r="G54">
        <v>0.57999999999999996</v>
      </c>
      <c r="H54" s="1">
        <f>Tabela_Piony_N[[#This Row],[L '[m']]]*Tabela_Piony_N[[#This Row],[B '[m']]]</f>
        <v>0.10439999999999999</v>
      </c>
      <c r="I54" s="1">
        <v>3.37</v>
      </c>
      <c r="J54" s="1">
        <f>6.29</f>
        <v>6.29</v>
      </c>
      <c r="K54" s="1">
        <f>Tabela_Piony_N[[#This Row],[hg]]-Tabela_Piony_N[[#This Row],[hd]]</f>
        <v>2.92</v>
      </c>
      <c r="L54" s="1">
        <f>PRODUCT(Tabela_Piony_N[[#This Row],[A '[m2']]],Tabela_Piony_N[[#This Row],[h '[m']]])</f>
        <v>0.30484799999999995</v>
      </c>
      <c r="M54" s="1">
        <f>PRODUCT(Tabela_Piony_N[[#This Row],[Szt.]],Tabela_Piony_N[[#This Row],[Vj '[m3']]])</f>
        <v>0.30484799999999995</v>
      </c>
      <c r="N54" s="1"/>
      <c r="O54" s="1"/>
    </row>
    <row r="55" spans="2:15" x14ac:dyDescent="0.3">
      <c r="B55" t="s">
        <v>203</v>
      </c>
      <c r="C55" t="s">
        <v>365</v>
      </c>
      <c r="D55" t="s">
        <v>215</v>
      </c>
      <c r="E55">
        <v>6</v>
      </c>
      <c r="F55">
        <v>0.18</v>
      </c>
      <c r="G55">
        <v>0.36</v>
      </c>
      <c r="H55" s="1">
        <f>Tabela_Piony_N[[#This Row],[L '[m']]]*Tabela_Piony_N[[#This Row],[B '[m']]]</f>
        <v>6.4799999999999996E-2</v>
      </c>
      <c r="I55" s="1">
        <v>3.37</v>
      </c>
      <c r="J55" s="1">
        <f>6.29</f>
        <v>6.29</v>
      </c>
      <c r="K55" s="1">
        <f>Tabela_Piony_N[[#This Row],[hg]]-Tabela_Piony_N[[#This Row],[hd]]</f>
        <v>2.92</v>
      </c>
      <c r="L55" s="1">
        <f>PRODUCT(Tabela_Piony_N[[#This Row],[A '[m2']]],Tabela_Piony_N[[#This Row],[h '[m']]])</f>
        <v>0.189216</v>
      </c>
      <c r="M55" s="1">
        <f>PRODUCT(Tabela_Piony_N[[#This Row],[Szt.]],Tabela_Piony_N[[#This Row],[Vj '[m3']]])</f>
        <v>1.1352959999999999</v>
      </c>
      <c r="N55" s="1"/>
      <c r="O55" s="1"/>
    </row>
    <row r="56" spans="2:15" x14ac:dyDescent="0.3">
      <c r="B56" t="s">
        <v>203</v>
      </c>
      <c r="C56" t="s">
        <v>366</v>
      </c>
      <c r="D56" t="s">
        <v>220</v>
      </c>
      <c r="E56">
        <v>6</v>
      </c>
      <c r="F56">
        <f>0.18</f>
        <v>0.18</v>
      </c>
      <c r="G56">
        <v>0.4</v>
      </c>
      <c r="H56" s="1">
        <f>Tabela_Piony_N[[#This Row],[L '[m']]]*Tabela_Piony_N[[#This Row],[B '[m']]]</f>
        <v>7.1999999999999995E-2</v>
      </c>
      <c r="I56" s="1">
        <v>6.47</v>
      </c>
      <c r="J56" s="1">
        <v>9.39</v>
      </c>
      <c r="K56" s="1">
        <f>Tabela_Piony_N[[#This Row],[hg]]-Tabela_Piony_N[[#This Row],[hd]]</f>
        <v>2.9200000000000008</v>
      </c>
      <c r="L56" s="1">
        <f>PRODUCT(Tabela_Piony_N[[#This Row],[A '[m2']]],Tabela_Piony_N[[#This Row],[h '[m']]])</f>
        <v>0.21024000000000004</v>
      </c>
      <c r="M56" s="1">
        <f>PRODUCT(Tabela_Piony_N[[#This Row],[Szt.]],Tabela_Piony_N[[#This Row],[Vj '[m3']]])</f>
        <v>1.2614400000000003</v>
      </c>
      <c r="N56" s="1"/>
      <c r="O56" s="1" t="s">
        <v>262</v>
      </c>
    </row>
    <row r="57" spans="2:15" x14ac:dyDescent="0.3">
      <c r="B57" t="s">
        <v>203</v>
      </c>
      <c r="C57" t="s">
        <v>367</v>
      </c>
      <c r="D57" t="s">
        <v>220</v>
      </c>
      <c r="E57">
        <v>6</v>
      </c>
      <c r="F57">
        <f>0.18</f>
        <v>0.18</v>
      </c>
      <c r="G57">
        <v>0.4</v>
      </c>
      <c r="H57" s="1">
        <f>Tabela_Piony_N[[#This Row],[L '[m']]]*Tabela_Piony_N[[#This Row],[B '[m']]]</f>
        <v>7.1999999999999995E-2</v>
      </c>
      <c r="I57" s="1">
        <v>9.57</v>
      </c>
      <c r="J57" s="1">
        <v>12.49</v>
      </c>
      <c r="K57" s="1">
        <f>Tabela_Piony_N[[#This Row],[hg]]-Tabela_Piony_N[[#This Row],[hd]]</f>
        <v>2.92</v>
      </c>
      <c r="L57" s="1">
        <f>PRODUCT(Tabela_Piony_N[[#This Row],[A '[m2']]],Tabela_Piony_N[[#This Row],[h '[m']]])</f>
        <v>0.21023999999999998</v>
      </c>
      <c r="M57" s="1">
        <f>PRODUCT(Tabela_Piony_N[[#This Row],[Szt.]],Tabela_Piony_N[[#This Row],[Vj '[m3']]])</f>
        <v>1.2614399999999999</v>
      </c>
      <c r="N57" s="1"/>
      <c r="O57" s="1"/>
    </row>
    <row r="58" spans="2:15" x14ac:dyDescent="0.3">
      <c r="B58" t="s">
        <v>203</v>
      </c>
      <c r="C58" t="s">
        <v>368</v>
      </c>
      <c r="D58" t="s">
        <v>260</v>
      </c>
      <c r="E58">
        <v>6</v>
      </c>
      <c r="F58">
        <f>0.18</f>
        <v>0.18</v>
      </c>
      <c r="G58">
        <v>0.4</v>
      </c>
      <c r="H58" s="1">
        <f>Tabela_Piony_N[[#This Row],[L '[m']]]*Tabela_Piony_N[[#This Row],[B '[m']]]</f>
        <v>7.1999999999999995E-2</v>
      </c>
      <c r="I58" s="1">
        <v>12.67</v>
      </c>
      <c r="J58" s="1">
        <v>15.59</v>
      </c>
      <c r="K58" s="1">
        <f>Tabela_Piony_N[[#This Row],[hg]]-Tabela_Piony_N[[#This Row],[hd]]</f>
        <v>2.92</v>
      </c>
      <c r="L58" s="1">
        <f>PRODUCT(Tabela_Piony_N[[#This Row],[A '[m2']]],Tabela_Piony_N[[#This Row],[h '[m']]])</f>
        <v>0.21023999999999998</v>
      </c>
      <c r="M58" s="1">
        <f>PRODUCT(Tabela_Piony_N[[#This Row],[Szt.]],Tabela_Piony_N[[#This Row],[Vj '[m3']]])</f>
        <v>1.2614399999999999</v>
      </c>
      <c r="N58" s="1"/>
      <c r="O58" s="1" t="s">
        <v>263</v>
      </c>
    </row>
    <row r="59" spans="2:15" x14ac:dyDescent="0.3">
      <c r="B59" t="s">
        <v>203</v>
      </c>
      <c r="C59" t="s">
        <v>365</v>
      </c>
      <c r="D59" t="s">
        <v>218</v>
      </c>
      <c r="E59">
        <v>3</v>
      </c>
      <c r="F59">
        <v>0.18</v>
      </c>
      <c r="G59">
        <v>0.4</v>
      </c>
      <c r="H59" s="1">
        <f>Tabela_Piony_N[[#This Row],[L '[m']]]*Tabela_Piony_N[[#This Row],[B '[m']]]</f>
        <v>7.1999999999999995E-2</v>
      </c>
      <c r="I59" s="1">
        <v>3.37</v>
      </c>
      <c r="J59" s="1">
        <f>6.29</f>
        <v>6.29</v>
      </c>
      <c r="K59" s="1">
        <f>Tabela_Piony_N[[#This Row],[hg]]-Tabela_Piony_N[[#This Row],[hd]]</f>
        <v>2.92</v>
      </c>
      <c r="L59" s="1">
        <f>PRODUCT(Tabela_Piony_N[[#This Row],[A '[m2']]],Tabela_Piony_N[[#This Row],[h '[m']]])</f>
        <v>0.21023999999999998</v>
      </c>
      <c r="M59" s="1">
        <f>PRODUCT(Tabela_Piony_N[[#This Row],[Szt.]],Tabela_Piony_N[[#This Row],[Vj '[m3']]])</f>
        <v>0.63071999999999995</v>
      </c>
      <c r="N59" s="1"/>
      <c r="O59" s="1"/>
    </row>
    <row r="60" spans="2:15" x14ac:dyDescent="0.3">
      <c r="B60" t="s">
        <v>203</v>
      </c>
      <c r="C60" t="s">
        <v>366</v>
      </c>
      <c r="D60" t="s">
        <v>219</v>
      </c>
      <c r="E60">
        <v>3</v>
      </c>
      <c r="F60">
        <f>0.18</f>
        <v>0.18</v>
      </c>
      <c r="G60">
        <v>0.4</v>
      </c>
      <c r="H60" s="1">
        <f>Tabela_Piony_N[[#This Row],[L '[m']]]*Tabela_Piony_N[[#This Row],[B '[m']]]</f>
        <v>7.1999999999999995E-2</v>
      </c>
      <c r="I60" s="1">
        <v>6.47</v>
      </c>
      <c r="J60" s="1">
        <v>9.39</v>
      </c>
      <c r="K60" s="1">
        <f>Tabela_Piony_N[[#This Row],[hg]]-Tabela_Piony_N[[#This Row],[hd]]</f>
        <v>2.9200000000000008</v>
      </c>
      <c r="L60" s="1">
        <f>PRODUCT(Tabela_Piony_N[[#This Row],[A '[m2']]],Tabela_Piony_N[[#This Row],[h '[m']]])</f>
        <v>0.21024000000000004</v>
      </c>
      <c r="M60" s="1">
        <f>PRODUCT(Tabela_Piony_N[[#This Row],[Szt.]],Tabela_Piony_N[[#This Row],[Vj '[m3']]])</f>
        <v>0.63072000000000017</v>
      </c>
      <c r="N60" s="1"/>
      <c r="O60" s="1" t="s">
        <v>261</v>
      </c>
    </row>
    <row r="61" spans="2:15" x14ac:dyDescent="0.3">
      <c r="B61" t="s">
        <v>203</v>
      </c>
      <c r="C61" t="s">
        <v>367</v>
      </c>
      <c r="D61" t="s">
        <v>219</v>
      </c>
      <c r="E61">
        <v>3</v>
      </c>
      <c r="F61">
        <f>0.18</f>
        <v>0.18</v>
      </c>
      <c r="G61">
        <v>0.4</v>
      </c>
      <c r="H61" s="1">
        <f>Tabela_Piony_N[[#This Row],[L '[m']]]*Tabela_Piony_N[[#This Row],[B '[m']]]</f>
        <v>7.1999999999999995E-2</v>
      </c>
      <c r="I61" s="1">
        <v>9.57</v>
      </c>
      <c r="J61" s="1">
        <v>12.49</v>
      </c>
      <c r="K61" s="1">
        <f>Tabela_Piony_N[[#This Row],[hg]]-Tabela_Piony_N[[#This Row],[hd]]</f>
        <v>2.92</v>
      </c>
      <c r="L61" s="1">
        <f>PRODUCT(Tabela_Piony_N[[#This Row],[A '[m2']]],Tabela_Piony_N[[#This Row],[h '[m']]])</f>
        <v>0.21023999999999998</v>
      </c>
      <c r="M61" s="1">
        <f>PRODUCT(Tabela_Piony_N[[#This Row],[Szt.]],Tabela_Piony_N[[#This Row],[Vj '[m3']]])</f>
        <v>0.63071999999999995</v>
      </c>
      <c r="N61" s="1"/>
      <c r="O61" s="1"/>
    </row>
    <row r="62" spans="2:15" x14ac:dyDescent="0.3">
      <c r="B62" t="s">
        <v>203</v>
      </c>
      <c r="C62" t="s">
        <v>368</v>
      </c>
      <c r="D62" t="s">
        <v>219</v>
      </c>
      <c r="E62">
        <v>1</v>
      </c>
      <c r="F62">
        <f>0.18</f>
        <v>0.18</v>
      </c>
      <c r="G62">
        <v>0.4</v>
      </c>
      <c r="H62" s="1">
        <f>Tabela_Piony_N[[#This Row],[L '[m']]]*Tabela_Piony_N[[#This Row],[B '[m']]]</f>
        <v>7.1999999999999995E-2</v>
      </c>
      <c r="I62" s="1">
        <v>12.67</v>
      </c>
      <c r="J62" s="1">
        <v>15.59</v>
      </c>
      <c r="K62" s="1">
        <f>Tabela_Piony_N[[#This Row],[hg]]-Tabela_Piony_N[[#This Row],[hd]]</f>
        <v>2.92</v>
      </c>
      <c r="L62" s="1">
        <f>PRODUCT(Tabela_Piony_N[[#This Row],[A '[m2']]],Tabela_Piony_N[[#This Row],[h '[m']]])</f>
        <v>0.21023999999999998</v>
      </c>
      <c r="M62" s="1">
        <f>PRODUCT(Tabela_Piony_N[[#This Row],[Szt.]],Tabela_Piony_N[[#This Row],[Vj '[m3']]])</f>
        <v>0.21023999999999998</v>
      </c>
      <c r="N62" s="1"/>
      <c r="O62" s="1"/>
    </row>
    <row r="63" spans="2:15" x14ac:dyDescent="0.3">
      <c r="B63" t="s">
        <v>203</v>
      </c>
      <c r="C63" t="s">
        <v>368</v>
      </c>
      <c r="D63" t="s">
        <v>258</v>
      </c>
      <c r="E63">
        <v>2</v>
      </c>
      <c r="F63">
        <f>0.18</f>
        <v>0.18</v>
      </c>
      <c r="G63">
        <v>0.36</v>
      </c>
      <c r="H63" s="1">
        <f>Tabela_Piony_N[[#This Row],[L '[m']]]*Tabela_Piony_N[[#This Row],[B '[m']]]</f>
        <v>6.4799999999999996E-2</v>
      </c>
      <c r="I63" s="1">
        <v>12.67</v>
      </c>
      <c r="J63" s="1">
        <v>15.59</v>
      </c>
      <c r="K63" s="1">
        <f>Tabela_Piony_N[[#This Row],[hg]]-Tabela_Piony_N[[#This Row],[hd]]</f>
        <v>2.92</v>
      </c>
      <c r="L63" s="1">
        <f>PRODUCT(Tabela_Piony_N[[#This Row],[A '[m2']]],Tabela_Piony_N[[#This Row],[h '[m']]])</f>
        <v>0.189216</v>
      </c>
      <c r="M63" s="1">
        <f>PRODUCT(Tabela_Piony_N[[#This Row],[Szt.]],Tabela_Piony_N[[#This Row],[Vj '[m3']]])</f>
        <v>0.37843199999999999</v>
      </c>
      <c r="N63" s="1" t="s">
        <v>259</v>
      </c>
      <c r="O63" s="1" t="s">
        <v>264</v>
      </c>
    </row>
    <row r="67" spans="2:4" x14ac:dyDescent="0.3">
      <c r="B67" s="2" t="s">
        <v>67</v>
      </c>
      <c r="C67" t="s">
        <v>255</v>
      </c>
      <c r="D67" t="s">
        <v>69</v>
      </c>
    </row>
    <row r="68" spans="2:4" x14ac:dyDescent="0.3">
      <c r="B68" s="3" t="s">
        <v>201</v>
      </c>
      <c r="D68" s="11">
        <v>152.33990399999999</v>
      </c>
    </row>
    <row r="69" spans="2:4" x14ac:dyDescent="0.3">
      <c r="B69" s="4" t="s">
        <v>200</v>
      </c>
      <c r="D69" s="11">
        <v>50.184287999999988</v>
      </c>
    </row>
    <row r="70" spans="2:4" x14ac:dyDescent="0.3">
      <c r="B70" s="4" t="s">
        <v>198</v>
      </c>
      <c r="D70" s="11">
        <v>85.862015999999997</v>
      </c>
    </row>
    <row r="71" spans="2:4" x14ac:dyDescent="0.3">
      <c r="B71" s="4" t="s">
        <v>199</v>
      </c>
      <c r="D71" s="11">
        <v>16.293600000000001</v>
      </c>
    </row>
    <row r="72" spans="2:4" x14ac:dyDescent="0.3">
      <c r="B72" s="3" t="s">
        <v>203</v>
      </c>
      <c r="C72">
        <v>167</v>
      </c>
      <c r="D72" s="11">
        <v>23.453711999999999</v>
      </c>
    </row>
    <row r="73" spans="2:4" x14ac:dyDescent="0.3">
      <c r="B73" s="4" t="s">
        <v>204</v>
      </c>
      <c r="C73">
        <v>65</v>
      </c>
      <c r="D73" s="11">
        <v>6.1495200000000008</v>
      </c>
    </row>
    <row r="74" spans="2:4" x14ac:dyDescent="0.3">
      <c r="B74" s="4" t="s">
        <v>205</v>
      </c>
      <c r="C74">
        <v>36</v>
      </c>
      <c r="D74" s="11">
        <v>3.4058880000000005</v>
      </c>
    </row>
    <row r="75" spans="2:4" x14ac:dyDescent="0.3">
      <c r="B75" s="4" t="s">
        <v>206</v>
      </c>
      <c r="C75">
        <v>3</v>
      </c>
      <c r="D75" s="11">
        <v>0.28382400000000002</v>
      </c>
    </row>
    <row r="76" spans="2:4" x14ac:dyDescent="0.3">
      <c r="B76" s="4" t="s">
        <v>207</v>
      </c>
      <c r="C76">
        <v>2</v>
      </c>
      <c r="D76" s="11">
        <v>0.30484799999999995</v>
      </c>
    </row>
    <row r="77" spans="2:4" x14ac:dyDescent="0.3">
      <c r="B77" s="4" t="s">
        <v>208</v>
      </c>
      <c r="C77">
        <v>3</v>
      </c>
      <c r="D77" s="11">
        <v>0.55188000000000004</v>
      </c>
    </row>
    <row r="78" spans="2:4" x14ac:dyDescent="0.3">
      <c r="B78" s="4" t="s">
        <v>209</v>
      </c>
      <c r="C78">
        <v>1</v>
      </c>
      <c r="D78" s="11">
        <v>0.18395999999999998</v>
      </c>
    </row>
    <row r="79" spans="2:4" x14ac:dyDescent="0.3">
      <c r="B79" s="4" t="s">
        <v>210</v>
      </c>
      <c r="C79">
        <v>7</v>
      </c>
      <c r="D79" s="11">
        <v>1.545264</v>
      </c>
    </row>
    <row r="80" spans="2:4" x14ac:dyDescent="0.3">
      <c r="B80" s="4" t="s">
        <v>211</v>
      </c>
      <c r="C80">
        <v>3</v>
      </c>
      <c r="D80" s="11">
        <v>0.66225599999999996</v>
      </c>
    </row>
    <row r="81" spans="2:4" x14ac:dyDescent="0.3">
      <c r="B81" s="4" t="s">
        <v>212</v>
      </c>
      <c r="C81">
        <v>3</v>
      </c>
      <c r="D81" s="11">
        <v>0.58341599999999993</v>
      </c>
    </row>
    <row r="82" spans="2:4" x14ac:dyDescent="0.3">
      <c r="B82" s="4" t="s">
        <v>213</v>
      </c>
      <c r="C82">
        <v>4</v>
      </c>
      <c r="D82" s="11">
        <v>1.0105919999999999</v>
      </c>
    </row>
    <row r="83" spans="2:4" x14ac:dyDescent="0.3">
      <c r="B83" s="4" t="s">
        <v>214</v>
      </c>
      <c r="C83">
        <v>1</v>
      </c>
      <c r="D83" s="11">
        <v>0.19447199999999998</v>
      </c>
    </row>
    <row r="84" spans="2:4" x14ac:dyDescent="0.3">
      <c r="B84" s="4" t="s">
        <v>216</v>
      </c>
      <c r="C84">
        <v>2</v>
      </c>
      <c r="D84" s="11">
        <v>0.87249599999999983</v>
      </c>
    </row>
    <row r="85" spans="2:4" x14ac:dyDescent="0.3">
      <c r="B85" s="4" t="s">
        <v>217</v>
      </c>
      <c r="C85">
        <v>1</v>
      </c>
      <c r="D85" s="11">
        <v>0.30484799999999995</v>
      </c>
    </row>
    <row r="86" spans="2:4" x14ac:dyDescent="0.3">
      <c r="B86" s="4" t="s">
        <v>219</v>
      </c>
      <c r="C86">
        <v>7</v>
      </c>
      <c r="D86" s="11">
        <v>1.4716800000000001</v>
      </c>
    </row>
    <row r="87" spans="2:4" x14ac:dyDescent="0.3">
      <c r="B87" s="4" t="s">
        <v>218</v>
      </c>
      <c r="C87">
        <v>3</v>
      </c>
      <c r="D87" s="11">
        <v>0.63071999999999995</v>
      </c>
    </row>
    <row r="88" spans="2:4" x14ac:dyDescent="0.3">
      <c r="B88" s="4" t="s">
        <v>258</v>
      </c>
      <c r="C88">
        <v>2</v>
      </c>
      <c r="D88" s="11">
        <v>0.37843199999999999</v>
      </c>
    </row>
    <row r="89" spans="2:4" x14ac:dyDescent="0.3">
      <c r="B89" s="4" t="s">
        <v>220</v>
      </c>
      <c r="C89">
        <v>12</v>
      </c>
      <c r="D89" s="11">
        <v>2.5228800000000002</v>
      </c>
    </row>
    <row r="90" spans="2:4" x14ac:dyDescent="0.3">
      <c r="B90" s="4" t="s">
        <v>215</v>
      </c>
      <c r="C90">
        <v>6</v>
      </c>
      <c r="D90" s="11">
        <v>1.1352959999999999</v>
      </c>
    </row>
    <row r="91" spans="2:4" x14ac:dyDescent="0.3">
      <c r="B91" s="4" t="s">
        <v>260</v>
      </c>
      <c r="C91">
        <v>6</v>
      </c>
      <c r="D91" s="11">
        <v>1.2614399999999999</v>
      </c>
    </row>
    <row r="92" spans="2:4" x14ac:dyDescent="0.3">
      <c r="B92" s="3" t="s">
        <v>68</v>
      </c>
      <c r="C92">
        <v>167</v>
      </c>
      <c r="D92" s="11">
        <v>175.79361600000001</v>
      </c>
    </row>
    <row r="101" spans="2:4" x14ac:dyDescent="0.3">
      <c r="B101" t="s">
        <v>291</v>
      </c>
    </row>
    <row r="102" spans="2:4" x14ac:dyDescent="0.3">
      <c r="B102" s="10" t="s">
        <v>203</v>
      </c>
    </row>
    <row r="103" spans="2:4" x14ac:dyDescent="0.3">
      <c r="B103" t="s">
        <v>289</v>
      </c>
      <c r="C103" t="s">
        <v>290</v>
      </c>
      <c r="D103" t="s">
        <v>269</v>
      </c>
    </row>
    <row r="104" spans="2:4" x14ac:dyDescent="0.3">
      <c r="B104">
        <v>65</v>
      </c>
      <c r="C104">
        <v>65</v>
      </c>
      <c r="D104">
        <f>B104-C104</f>
        <v>0</v>
      </c>
    </row>
    <row r="105" spans="2:4" x14ac:dyDescent="0.3">
      <c r="B105">
        <v>36</v>
      </c>
      <c r="C105">
        <v>37</v>
      </c>
      <c r="D105">
        <f t="shared" ref="D105:D122" si="3">B105-C105</f>
        <v>-1</v>
      </c>
    </row>
    <row r="106" spans="2:4" x14ac:dyDescent="0.3">
      <c r="B106">
        <v>3</v>
      </c>
      <c r="C106">
        <v>3</v>
      </c>
      <c r="D106">
        <f t="shared" si="3"/>
        <v>0</v>
      </c>
    </row>
    <row r="107" spans="2:4" x14ac:dyDescent="0.3">
      <c r="B107">
        <v>2</v>
      </c>
      <c r="C107">
        <v>2</v>
      </c>
      <c r="D107">
        <f t="shared" si="3"/>
        <v>0</v>
      </c>
    </row>
    <row r="108" spans="2:4" x14ac:dyDescent="0.3">
      <c r="B108">
        <v>3</v>
      </c>
      <c r="C108">
        <v>3</v>
      </c>
      <c r="D108">
        <f t="shared" si="3"/>
        <v>0</v>
      </c>
    </row>
    <row r="109" spans="2:4" x14ac:dyDescent="0.3">
      <c r="B109">
        <v>1</v>
      </c>
      <c r="C109">
        <v>1</v>
      </c>
      <c r="D109">
        <f t="shared" si="3"/>
        <v>0</v>
      </c>
    </row>
    <row r="110" spans="2:4" x14ac:dyDescent="0.3">
      <c r="B110">
        <v>7</v>
      </c>
      <c r="C110">
        <v>7</v>
      </c>
      <c r="D110">
        <f t="shared" si="3"/>
        <v>0</v>
      </c>
    </row>
    <row r="111" spans="2:4" x14ac:dyDescent="0.3">
      <c r="B111">
        <v>3</v>
      </c>
      <c r="C111">
        <v>3</v>
      </c>
      <c r="D111">
        <f t="shared" si="3"/>
        <v>0</v>
      </c>
    </row>
    <row r="112" spans="2:4" x14ac:dyDescent="0.3">
      <c r="B112">
        <v>3</v>
      </c>
      <c r="C112">
        <v>6</v>
      </c>
      <c r="D112">
        <f t="shared" si="3"/>
        <v>-3</v>
      </c>
    </row>
    <row r="113" spans="2:4" x14ac:dyDescent="0.3">
      <c r="B113">
        <v>4</v>
      </c>
      <c r="C113">
        <v>1</v>
      </c>
      <c r="D113">
        <f t="shared" si="3"/>
        <v>3</v>
      </c>
    </row>
    <row r="114" spans="2:4" x14ac:dyDescent="0.3">
      <c r="B114">
        <v>1</v>
      </c>
      <c r="C114">
        <v>1</v>
      </c>
      <c r="D114">
        <f t="shared" si="3"/>
        <v>0</v>
      </c>
    </row>
    <row r="115" spans="2:4" x14ac:dyDescent="0.3">
      <c r="B115">
        <v>2</v>
      </c>
      <c r="C115">
        <v>2</v>
      </c>
      <c r="D115">
        <f t="shared" si="3"/>
        <v>0</v>
      </c>
    </row>
    <row r="116" spans="2:4" x14ac:dyDescent="0.3">
      <c r="B116">
        <v>1</v>
      </c>
      <c r="C116">
        <v>1</v>
      </c>
      <c r="D116">
        <f t="shared" si="3"/>
        <v>0</v>
      </c>
    </row>
    <row r="117" spans="2:4" x14ac:dyDescent="0.3">
      <c r="B117">
        <v>7</v>
      </c>
      <c r="C117">
        <v>12</v>
      </c>
      <c r="D117">
        <f t="shared" si="3"/>
        <v>-5</v>
      </c>
    </row>
    <row r="118" spans="2:4" x14ac:dyDescent="0.3">
      <c r="B118">
        <v>3</v>
      </c>
      <c r="C118">
        <v>3</v>
      </c>
      <c r="D118">
        <f t="shared" si="3"/>
        <v>0</v>
      </c>
    </row>
    <row r="119" spans="2:4" x14ac:dyDescent="0.3">
      <c r="B119">
        <v>2</v>
      </c>
      <c r="C119">
        <v>0</v>
      </c>
      <c r="D119">
        <f t="shared" si="3"/>
        <v>2</v>
      </c>
    </row>
    <row r="120" spans="2:4" x14ac:dyDescent="0.3">
      <c r="B120">
        <v>12</v>
      </c>
      <c r="C120">
        <v>18</v>
      </c>
      <c r="D120">
        <f t="shared" si="3"/>
        <v>-6</v>
      </c>
    </row>
    <row r="121" spans="2:4" x14ac:dyDescent="0.3">
      <c r="B121">
        <v>6</v>
      </c>
      <c r="C121">
        <v>6</v>
      </c>
      <c r="D121">
        <f t="shared" si="3"/>
        <v>0</v>
      </c>
    </row>
    <row r="122" spans="2:4" x14ac:dyDescent="0.3">
      <c r="B122">
        <v>6</v>
      </c>
      <c r="C122">
        <v>0</v>
      </c>
      <c r="D122">
        <f t="shared" si="3"/>
        <v>6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B998-51B1-4B1F-A7F4-5F614FA8A0FC}">
  <dimension ref="B3:O183"/>
  <sheetViews>
    <sheetView topLeftCell="A112" zoomScale="85" zoomScaleNormal="85" workbookViewId="0">
      <selection activeCell="C16" sqref="C16:C155"/>
    </sheetView>
  </sheetViews>
  <sheetFormatPr defaultRowHeight="14.4" x14ac:dyDescent="0.3"/>
  <cols>
    <col min="2" max="2" width="17.88671875" bestFit="1" customWidth="1"/>
    <col min="3" max="3" width="33.33203125" bestFit="1" customWidth="1"/>
    <col min="4" max="4" width="10.77734375" bestFit="1" customWidth="1"/>
    <col min="5" max="5" width="13.5546875" bestFit="1" customWidth="1"/>
    <col min="6" max="6" width="14" bestFit="1" customWidth="1"/>
    <col min="7" max="7" width="16" customWidth="1"/>
    <col min="8" max="8" width="7.5546875" customWidth="1"/>
    <col min="9" max="9" width="10.88671875" customWidth="1"/>
    <col min="10" max="10" width="9.33203125" customWidth="1"/>
    <col min="11" max="11" width="8.33203125" customWidth="1"/>
    <col min="12" max="12" width="12.33203125" customWidth="1"/>
    <col min="13" max="13" width="13.33203125" customWidth="1"/>
    <col min="14" max="14" width="22.33203125" customWidth="1"/>
  </cols>
  <sheetData>
    <row r="3" spans="2:15" x14ac:dyDescent="0.3">
      <c r="B3" s="6" t="s">
        <v>288</v>
      </c>
      <c r="C3" s="7"/>
      <c r="D3" s="7"/>
      <c r="E3" s="7"/>
    </row>
    <row r="4" spans="2:15" x14ac:dyDescent="0.3">
      <c r="B4" t="s">
        <v>224</v>
      </c>
    </row>
    <row r="8" spans="2:15" x14ac:dyDescent="0.3">
      <c r="B8" t="s">
        <v>178</v>
      </c>
    </row>
    <row r="9" spans="2:15" x14ac:dyDescent="0.3">
      <c r="B9" t="s">
        <v>179</v>
      </c>
      <c r="C9" t="s">
        <v>240</v>
      </c>
    </row>
    <row r="10" spans="2:15" x14ac:dyDescent="0.3">
      <c r="B10" s="8" t="s">
        <v>242</v>
      </c>
      <c r="C10" s="8" t="s">
        <v>241</v>
      </c>
    </row>
    <row r="11" spans="2:15" x14ac:dyDescent="0.3">
      <c r="B11" s="8" t="s">
        <v>246</v>
      </c>
      <c r="C11" s="8" t="s">
        <v>248</v>
      </c>
    </row>
    <row r="12" spans="2:15" x14ac:dyDescent="0.3">
      <c r="B12" s="8" t="s">
        <v>247</v>
      </c>
      <c r="C12" s="8" t="s">
        <v>248</v>
      </c>
    </row>
    <row r="15" spans="2:15" ht="15.75" customHeight="1" x14ac:dyDescent="0.3">
      <c r="B15" t="s">
        <v>18</v>
      </c>
      <c r="C15" t="s">
        <v>222</v>
      </c>
      <c r="D15" t="s">
        <v>221</v>
      </c>
      <c r="E15" t="s">
        <v>4</v>
      </c>
      <c r="F15" t="s">
        <v>26</v>
      </c>
      <c r="G15" t="s">
        <v>25</v>
      </c>
      <c r="H15" t="s">
        <v>27</v>
      </c>
      <c r="I15" t="s">
        <v>24</v>
      </c>
      <c r="J15" t="s">
        <v>83</v>
      </c>
      <c r="K15" t="s">
        <v>38</v>
      </c>
      <c r="L15" t="s">
        <v>309</v>
      </c>
      <c r="M15" t="s">
        <v>28</v>
      </c>
      <c r="N15" t="s">
        <v>82</v>
      </c>
      <c r="O15" t="s">
        <v>72</v>
      </c>
    </row>
    <row r="16" spans="2:15" ht="15.75" customHeight="1" x14ac:dyDescent="0.3">
      <c r="B16" t="s">
        <v>180</v>
      </c>
      <c r="C16" t="s">
        <v>365</v>
      </c>
      <c r="D16">
        <v>1</v>
      </c>
      <c r="E16" t="s">
        <v>227</v>
      </c>
      <c r="F16">
        <v>3.42</v>
      </c>
      <c r="G16">
        <v>0.18</v>
      </c>
      <c r="H16" s="1">
        <f>Tabela_Belki_N[[#This Row],[hg]]-Tabela_Belki_N[[#This Row],[hd]]</f>
        <v>0.21999999999999975</v>
      </c>
      <c r="I16" s="1">
        <f t="shared" ref="I16:I19" si="0">PRODUCT(F16:G16)</f>
        <v>0.61559999999999993</v>
      </c>
      <c r="J16" s="1">
        <v>6.07</v>
      </c>
      <c r="K16" s="1">
        <f>6.47-0.18</f>
        <v>6.29</v>
      </c>
      <c r="L16" s="1">
        <f>PRODUCT(Tabela_Belki_N[[#This Row],[h '[m']]],Tabela_Belki_N[[#This Row],[A '[m2']]])</f>
        <v>0.13543199999999983</v>
      </c>
      <c r="M16" s="1">
        <f>PRODUCT(Tabela_Belki_N[[#This Row],[Szt.]],Tabela_Belki_N[[#This Row],[Vj '[m3']]])</f>
        <v>0.13543199999999983</v>
      </c>
      <c r="N16" s="1"/>
      <c r="O16" s="1"/>
    </row>
    <row r="17" spans="2:15" ht="15.75" customHeight="1" x14ac:dyDescent="0.3">
      <c r="B17" t="s">
        <v>180</v>
      </c>
      <c r="C17" t="s">
        <v>366</v>
      </c>
      <c r="D17">
        <v>1</v>
      </c>
      <c r="E17" t="s">
        <v>227</v>
      </c>
      <c r="F17">
        <v>3.42</v>
      </c>
      <c r="G17">
        <v>0.18</v>
      </c>
      <c r="H17" s="1">
        <f>Tabela_Belki_N[[#This Row],[hg]]-Tabela_Belki_N[[#This Row],[hd]]</f>
        <v>0.22000000000000064</v>
      </c>
      <c r="I17" s="1">
        <f t="shared" si="0"/>
        <v>0.61559999999999993</v>
      </c>
      <c r="J17" s="1">
        <v>9.17</v>
      </c>
      <c r="K17" s="1">
        <f>9.57-0.18</f>
        <v>9.39</v>
      </c>
      <c r="L17" s="1">
        <f>PRODUCT(Tabela_Belki_N[[#This Row],[h '[m']]],Tabela_Belki_N[[#This Row],[A '[m2']]])</f>
        <v>0.13543200000000039</v>
      </c>
      <c r="M17" s="1">
        <f>PRODUCT(Tabela_Belki_N[[#This Row],[Szt.]],Tabela_Belki_N[[#This Row],[Vj '[m3']]])</f>
        <v>0.13543200000000039</v>
      </c>
      <c r="N17" s="1"/>
      <c r="O17" s="1"/>
    </row>
    <row r="18" spans="2:15" ht="15.75" customHeight="1" x14ac:dyDescent="0.3">
      <c r="B18" t="s">
        <v>180</v>
      </c>
      <c r="C18" t="s">
        <v>367</v>
      </c>
      <c r="D18">
        <v>1</v>
      </c>
      <c r="E18" t="s">
        <v>227</v>
      </c>
      <c r="F18">
        <v>3.42</v>
      </c>
      <c r="G18">
        <v>0.18</v>
      </c>
      <c r="H18" s="1">
        <f>Tabela_Belki_N[[#This Row],[hg]]-Tabela_Belki_N[[#This Row],[hd]]</f>
        <v>0.22000000000000064</v>
      </c>
      <c r="I18" s="1">
        <f t="shared" si="0"/>
        <v>0.61559999999999993</v>
      </c>
      <c r="J18" s="1">
        <v>12.27</v>
      </c>
      <c r="K18" s="1">
        <f>12.67-0.18</f>
        <v>12.49</v>
      </c>
      <c r="L18" s="1">
        <f>PRODUCT(Tabela_Belki_N[[#This Row],[h '[m']]],Tabela_Belki_N[[#This Row],[A '[m2']]])</f>
        <v>0.13543200000000039</v>
      </c>
      <c r="M18" s="1">
        <f>PRODUCT(Tabela_Belki_N[[#This Row],[Szt.]],Tabela_Belki_N[[#This Row],[Vj '[m3']]])</f>
        <v>0.13543200000000039</v>
      </c>
      <c r="N18" s="1"/>
      <c r="O18" s="1"/>
    </row>
    <row r="19" spans="2:15" ht="15.75" customHeight="1" x14ac:dyDescent="0.3">
      <c r="B19" t="s">
        <v>180</v>
      </c>
      <c r="C19" t="s">
        <v>368</v>
      </c>
      <c r="D19">
        <v>1</v>
      </c>
      <c r="E19" t="s">
        <v>227</v>
      </c>
      <c r="F19">
        <v>3.42</v>
      </c>
      <c r="G19">
        <v>0.18</v>
      </c>
      <c r="H19" s="1">
        <f>Tabela_Belki_N[[#This Row],[hg]]-Tabela_Belki_N[[#This Row],[hd]]</f>
        <v>0.22000000000000064</v>
      </c>
      <c r="I19" s="1">
        <f t="shared" si="0"/>
        <v>0.61559999999999993</v>
      </c>
      <c r="J19" s="1">
        <v>15.37</v>
      </c>
      <c r="K19" s="1">
        <f>15.77-0.18</f>
        <v>15.59</v>
      </c>
      <c r="L19" s="1">
        <f>PRODUCT(Tabela_Belki_N[[#This Row],[h '[m']]],Tabela_Belki_N[[#This Row],[A '[m2']]])</f>
        <v>0.13543200000000039</v>
      </c>
      <c r="M19" s="1">
        <f>PRODUCT(Tabela_Belki_N[[#This Row],[Szt.]],Tabela_Belki_N[[#This Row],[Vj '[m3']]])</f>
        <v>0.13543200000000039</v>
      </c>
      <c r="N19" s="1"/>
      <c r="O19" s="1"/>
    </row>
    <row r="20" spans="2:15" ht="15.75" customHeight="1" x14ac:dyDescent="0.3">
      <c r="B20" t="s">
        <v>180</v>
      </c>
      <c r="C20" t="s">
        <v>365</v>
      </c>
      <c r="D20">
        <v>1</v>
      </c>
      <c r="E20" t="s">
        <v>228</v>
      </c>
      <c r="F20">
        <v>4.0949999999999998</v>
      </c>
      <c r="G20">
        <v>0.18</v>
      </c>
      <c r="H20" s="1">
        <f>Tabela_Belki_N[[#This Row],[hg]]-Tabela_Belki_N[[#This Row],[hd]]</f>
        <v>0.21999999999999975</v>
      </c>
      <c r="I20" s="1">
        <f t="shared" ref="I20:I27" si="1">PRODUCT(F20:G20)</f>
        <v>0.73709999999999998</v>
      </c>
      <c r="J20" s="1">
        <v>6.07</v>
      </c>
      <c r="K20" s="1">
        <f>6.47-0.18</f>
        <v>6.29</v>
      </c>
      <c r="L20" s="1">
        <f>PRODUCT(Tabela_Belki_N[[#This Row],[h '[m']]],Tabela_Belki_N[[#This Row],[A '[m2']]])</f>
        <v>0.16216199999999981</v>
      </c>
      <c r="M20" s="1">
        <f>PRODUCT(Tabela_Belki_N[[#This Row],[Szt.]],Tabela_Belki_N[[#This Row],[Vj '[m3']]])</f>
        <v>0.16216199999999981</v>
      </c>
      <c r="N20" s="1"/>
      <c r="O20" s="1"/>
    </row>
    <row r="21" spans="2:15" ht="15.75" customHeight="1" x14ac:dyDescent="0.3">
      <c r="B21" t="s">
        <v>180</v>
      </c>
      <c r="C21" t="s">
        <v>366</v>
      </c>
      <c r="D21">
        <v>1</v>
      </c>
      <c r="E21" t="s">
        <v>228</v>
      </c>
      <c r="F21">
        <v>4.0949999999999998</v>
      </c>
      <c r="G21">
        <v>0.18</v>
      </c>
      <c r="H21" s="1">
        <f>Tabela_Belki_N[[#This Row],[hg]]-Tabela_Belki_N[[#This Row],[hd]]</f>
        <v>0.22000000000000064</v>
      </c>
      <c r="I21" s="1">
        <f t="shared" si="1"/>
        <v>0.73709999999999998</v>
      </c>
      <c r="J21" s="1">
        <v>9.17</v>
      </c>
      <c r="K21" s="1">
        <f>9.57-0.18</f>
        <v>9.39</v>
      </c>
      <c r="L21" s="1">
        <f>PRODUCT(Tabela_Belki_N[[#This Row],[h '[m']]],Tabela_Belki_N[[#This Row],[A '[m2']]])</f>
        <v>0.16216200000000047</v>
      </c>
      <c r="M21" s="1">
        <f>PRODUCT(Tabela_Belki_N[[#This Row],[Szt.]],Tabela_Belki_N[[#This Row],[Vj '[m3']]])</f>
        <v>0.16216200000000047</v>
      </c>
      <c r="N21" s="1"/>
      <c r="O21" s="1"/>
    </row>
    <row r="22" spans="2:15" ht="15.75" customHeight="1" x14ac:dyDescent="0.3">
      <c r="B22" t="s">
        <v>180</v>
      </c>
      <c r="C22" t="s">
        <v>367</v>
      </c>
      <c r="D22">
        <v>1</v>
      </c>
      <c r="E22" t="s">
        <v>228</v>
      </c>
      <c r="F22">
        <v>4.0949999999999998</v>
      </c>
      <c r="G22">
        <v>0.18</v>
      </c>
      <c r="H22" s="1">
        <f>Tabela_Belki_N[[#This Row],[hg]]-Tabela_Belki_N[[#This Row],[hd]]</f>
        <v>0.22000000000000064</v>
      </c>
      <c r="I22" s="1">
        <f t="shared" si="1"/>
        <v>0.73709999999999998</v>
      </c>
      <c r="J22" s="1">
        <v>12.27</v>
      </c>
      <c r="K22" s="1">
        <f>12.67-0.18</f>
        <v>12.49</v>
      </c>
      <c r="L22" s="1">
        <f>PRODUCT(Tabela_Belki_N[[#This Row],[h '[m']]],Tabela_Belki_N[[#This Row],[A '[m2']]])</f>
        <v>0.16216200000000047</v>
      </c>
      <c r="M22" s="1">
        <f>PRODUCT(Tabela_Belki_N[[#This Row],[Szt.]],Tabela_Belki_N[[#This Row],[Vj '[m3']]])</f>
        <v>0.16216200000000047</v>
      </c>
      <c r="N22" s="1"/>
      <c r="O22" s="1"/>
    </row>
    <row r="23" spans="2:15" ht="15.75" customHeight="1" x14ac:dyDescent="0.3">
      <c r="B23" t="s">
        <v>180</v>
      </c>
      <c r="C23" t="s">
        <v>368</v>
      </c>
      <c r="D23">
        <v>1</v>
      </c>
      <c r="E23" t="s">
        <v>228</v>
      </c>
      <c r="F23">
        <v>4.0949999999999998</v>
      </c>
      <c r="G23">
        <v>0.18</v>
      </c>
      <c r="H23" s="1">
        <f>Tabela_Belki_N[[#This Row],[hg]]-Tabela_Belki_N[[#This Row],[hd]]</f>
        <v>0.22000000000000064</v>
      </c>
      <c r="I23" s="1">
        <f t="shared" si="1"/>
        <v>0.73709999999999998</v>
      </c>
      <c r="J23" s="1">
        <v>15.37</v>
      </c>
      <c r="K23" s="1">
        <f>15.77-0.18</f>
        <v>15.59</v>
      </c>
      <c r="L23" s="1">
        <f>PRODUCT(Tabela_Belki_N[[#This Row],[h '[m']]],Tabela_Belki_N[[#This Row],[A '[m2']]])</f>
        <v>0.16216200000000047</v>
      </c>
      <c r="M23" s="1">
        <f>PRODUCT(Tabela_Belki_N[[#This Row],[Szt.]],Tabela_Belki_N[[#This Row],[Vj '[m3']]])</f>
        <v>0.16216200000000047</v>
      </c>
      <c r="N23" s="1"/>
      <c r="O23" s="1"/>
    </row>
    <row r="24" spans="2:15" ht="15.75" customHeight="1" x14ac:dyDescent="0.3">
      <c r="B24" t="s">
        <v>180</v>
      </c>
      <c r="C24" t="s">
        <v>365</v>
      </c>
      <c r="D24">
        <v>1</v>
      </c>
      <c r="E24" t="s">
        <v>235</v>
      </c>
      <c r="F24">
        <v>0.98499999999999999</v>
      </c>
      <c r="G24">
        <v>0.18</v>
      </c>
      <c r="H24" s="1">
        <f>Tabela_Belki_N[[#This Row],[hg]]-Tabela_Belki_N[[#This Row],[hd]]</f>
        <v>0.16999999999999993</v>
      </c>
      <c r="I24" s="1">
        <f t="shared" si="1"/>
        <v>0.17729999999999999</v>
      </c>
      <c r="J24" s="1">
        <v>6.12</v>
      </c>
      <c r="K24" s="1">
        <f>6.47-0.18</f>
        <v>6.29</v>
      </c>
      <c r="L24" s="1">
        <f>PRODUCT(Tabela_Belki_N[[#This Row],[h '[m']]],Tabela_Belki_N[[#This Row],[A '[m2']]])</f>
        <v>3.0140999999999984E-2</v>
      </c>
      <c r="M24" s="1">
        <f>PRODUCT(Tabela_Belki_N[[#This Row],[Szt.]],Tabela_Belki_N[[#This Row],[Vj '[m3']]])</f>
        <v>3.0140999999999984E-2</v>
      </c>
      <c r="N24" s="1"/>
      <c r="O24" s="1"/>
    </row>
    <row r="25" spans="2:15" ht="15.75" customHeight="1" x14ac:dyDescent="0.3">
      <c r="B25" t="s">
        <v>180</v>
      </c>
      <c r="C25" t="s">
        <v>366</v>
      </c>
      <c r="D25">
        <v>1</v>
      </c>
      <c r="E25" t="s">
        <v>235</v>
      </c>
      <c r="F25">
        <v>0.98499999999999999</v>
      </c>
      <c r="G25">
        <v>0.18</v>
      </c>
      <c r="H25" s="1">
        <f>Tabela_Belki_N[[#This Row],[hg]]-Tabela_Belki_N[[#This Row],[hd]]</f>
        <v>0.34999999999999964</v>
      </c>
      <c r="I25" s="1">
        <f t="shared" si="1"/>
        <v>0.17729999999999999</v>
      </c>
      <c r="J25" s="1">
        <v>9.2200000000000006</v>
      </c>
      <c r="K25" s="1">
        <v>9.57</v>
      </c>
      <c r="L25" s="1">
        <f>PRODUCT(Tabela_Belki_N[[#This Row],[h '[m']]],Tabela_Belki_N[[#This Row],[A '[m2']]])</f>
        <v>6.205499999999993E-2</v>
      </c>
      <c r="M25" s="1">
        <f>PRODUCT(Tabela_Belki_N[[#This Row],[Szt.]],Tabela_Belki_N[[#This Row],[Vj '[m3']]])</f>
        <v>6.205499999999993E-2</v>
      </c>
      <c r="N25" s="1"/>
      <c r="O25" s="1"/>
    </row>
    <row r="26" spans="2:15" ht="15.75" customHeight="1" x14ac:dyDescent="0.3">
      <c r="B26" t="s">
        <v>180</v>
      </c>
      <c r="C26" t="s">
        <v>367</v>
      </c>
      <c r="D26">
        <v>1</v>
      </c>
      <c r="E26" t="s">
        <v>235</v>
      </c>
      <c r="F26">
        <v>0.98499999999999999</v>
      </c>
      <c r="G26">
        <v>0.18</v>
      </c>
      <c r="H26" s="1">
        <f>Tabela_Belki_N[[#This Row],[hg]]-Tabela_Belki_N[[#This Row],[hd]]</f>
        <v>0.34999999999999964</v>
      </c>
      <c r="I26" s="1">
        <f t="shared" si="1"/>
        <v>0.17729999999999999</v>
      </c>
      <c r="J26" s="1">
        <v>12.32</v>
      </c>
      <c r="K26" s="1">
        <v>12.67</v>
      </c>
      <c r="L26" s="1">
        <f>PRODUCT(Tabela_Belki_N[[#This Row],[h '[m']]],Tabela_Belki_N[[#This Row],[A '[m2']]])</f>
        <v>6.205499999999993E-2</v>
      </c>
      <c r="M26" s="1">
        <f>PRODUCT(Tabela_Belki_N[[#This Row],[Szt.]],Tabela_Belki_N[[#This Row],[Vj '[m3']]])</f>
        <v>6.205499999999993E-2</v>
      </c>
      <c r="N26" s="1"/>
      <c r="O26" s="1"/>
    </row>
    <row r="27" spans="2:15" ht="15.75" customHeight="1" x14ac:dyDescent="0.3">
      <c r="B27" t="s">
        <v>180</v>
      </c>
      <c r="C27" t="s">
        <v>368</v>
      </c>
      <c r="D27">
        <v>1</v>
      </c>
      <c r="E27" t="s">
        <v>235</v>
      </c>
      <c r="F27">
        <v>0.98499999999999999</v>
      </c>
      <c r="G27">
        <v>0.18</v>
      </c>
      <c r="H27" s="1">
        <f>Tabela_Belki_N[[#This Row],[hg]]-Tabela_Belki_N[[#This Row],[hd]]</f>
        <v>0.16999999999999993</v>
      </c>
      <c r="I27" s="1">
        <f t="shared" si="1"/>
        <v>0.17729999999999999</v>
      </c>
      <c r="J27" s="1">
        <v>15.42</v>
      </c>
      <c r="K27" s="1">
        <f>15.77-0.18</f>
        <v>15.59</v>
      </c>
      <c r="L27" s="1">
        <f>PRODUCT(Tabela_Belki_N[[#This Row],[h '[m']]],Tabela_Belki_N[[#This Row],[A '[m2']]])</f>
        <v>3.0140999999999984E-2</v>
      </c>
      <c r="M27" s="1">
        <f>PRODUCT(Tabela_Belki_N[[#This Row],[Szt.]],Tabela_Belki_N[[#This Row],[Vj '[m3']]])</f>
        <v>3.0140999999999984E-2</v>
      </c>
      <c r="N27" s="1"/>
      <c r="O27" s="1"/>
    </row>
    <row r="28" spans="2:15" ht="15.75" customHeight="1" x14ac:dyDescent="0.3">
      <c r="B28" t="s">
        <v>180</v>
      </c>
      <c r="C28" t="s">
        <v>365</v>
      </c>
      <c r="D28">
        <v>2</v>
      </c>
      <c r="E28" t="s">
        <v>233</v>
      </c>
      <c r="F28">
        <v>1.97</v>
      </c>
      <c r="G28">
        <v>0.18</v>
      </c>
      <c r="H28" s="1">
        <f>Tabela_Belki_N[[#This Row],[hg]]-Tabela_Belki_N[[#This Row],[hd]]</f>
        <v>0.16999999999999993</v>
      </c>
      <c r="I28" s="1">
        <f t="shared" ref="I28:I34" si="2">PRODUCT(F28:G28)</f>
        <v>0.35459999999999997</v>
      </c>
      <c r="J28" s="1">
        <v>6.12</v>
      </c>
      <c r="K28" s="1">
        <f>6.47-0.18</f>
        <v>6.29</v>
      </c>
      <c r="L28" s="1">
        <f>PRODUCT(Tabela_Belki_N[[#This Row],[h '[m']]],Tabela_Belki_N[[#This Row],[A '[m2']]])</f>
        <v>6.0281999999999968E-2</v>
      </c>
      <c r="M28" s="1">
        <f>PRODUCT(Tabela_Belki_N[[#This Row],[Szt.]],Tabela_Belki_N[[#This Row],[Vj '[m3']]])</f>
        <v>0.12056399999999994</v>
      </c>
      <c r="N28" s="1" t="s">
        <v>232</v>
      </c>
      <c r="O28" s="1"/>
    </row>
    <row r="29" spans="2:15" ht="15.75" customHeight="1" x14ac:dyDescent="0.3">
      <c r="B29" t="s">
        <v>180</v>
      </c>
      <c r="C29" t="s">
        <v>365</v>
      </c>
      <c r="D29">
        <v>1</v>
      </c>
      <c r="E29" t="s">
        <v>233</v>
      </c>
      <c r="F29">
        <v>2.02</v>
      </c>
      <c r="G29">
        <v>0.18</v>
      </c>
      <c r="H29" s="1">
        <f>Tabela_Belki_N[[#This Row],[hg]]-Tabela_Belki_N[[#This Row],[hd]]</f>
        <v>0.16999999999999993</v>
      </c>
      <c r="I29" s="1">
        <f t="shared" ref="I29" si="3">PRODUCT(F29:G29)</f>
        <v>0.36359999999999998</v>
      </c>
      <c r="J29" s="1">
        <v>6.12</v>
      </c>
      <c r="K29" s="1">
        <f>6.47-0.18</f>
        <v>6.29</v>
      </c>
      <c r="L29" s="1">
        <f>PRODUCT(Tabela_Belki_N[[#This Row],[h '[m']]],Tabela_Belki_N[[#This Row],[A '[m2']]])</f>
        <v>6.1811999999999971E-2</v>
      </c>
      <c r="M29" s="1">
        <f>PRODUCT(Tabela_Belki_N[[#This Row],[Szt.]],Tabela_Belki_N[[#This Row],[Vj '[m3']]])</f>
        <v>6.1811999999999971E-2</v>
      </c>
      <c r="N29" s="1"/>
      <c r="O29" s="1"/>
    </row>
    <row r="30" spans="2:15" ht="15.75" customHeight="1" x14ac:dyDescent="0.3">
      <c r="B30" t="s">
        <v>180</v>
      </c>
      <c r="C30" t="s">
        <v>366</v>
      </c>
      <c r="D30">
        <v>2</v>
      </c>
      <c r="E30" t="s">
        <v>233</v>
      </c>
      <c r="F30">
        <v>1.97</v>
      </c>
      <c r="G30">
        <v>0.18</v>
      </c>
      <c r="H30" s="1">
        <f>Tabela_Belki_N[[#This Row],[hg]]-Tabela_Belki_N[[#This Row],[hd]]</f>
        <v>0.16999999999999993</v>
      </c>
      <c r="I30" s="1">
        <f t="shared" si="2"/>
        <v>0.35459999999999997</v>
      </c>
      <c r="J30" s="1">
        <v>9.2200000000000006</v>
      </c>
      <c r="K30" s="1">
        <f>9.57-0.18</f>
        <v>9.39</v>
      </c>
      <c r="L30" s="1">
        <f>PRODUCT(Tabela_Belki_N[[#This Row],[h '[m']]],Tabela_Belki_N[[#This Row],[A '[m2']]])</f>
        <v>6.0281999999999968E-2</v>
      </c>
      <c r="M30" s="1">
        <f>PRODUCT(Tabela_Belki_N[[#This Row],[Szt.]],Tabela_Belki_N[[#This Row],[Vj '[m3']]])</f>
        <v>0.12056399999999994</v>
      </c>
      <c r="N30" s="1" t="s">
        <v>232</v>
      </c>
      <c r="O30" s="1"/>
    </row>
    <row r="31" spans="2:15" ht="15.75" customHeight="1" x14ac:dyDescent="0.3">
      <c r="B31" t="s">
        <v>180</v>
      </c>
      <c r="C31" t="s">
        <v>366</v>
      </c>
      <c r="D31">
        <v>1</v>
      </c>
      <c r="E31" t="s">
        <v>233</v>
      </c>
      <c r="F31">
        <v>2.02</v>
      </c>
      <c r="G31">
        <v>0.18</v>
      </c>
      <c r="H31" s="1">
        <f>Tabela_Belki_N[[#This Row],[hg]]-Tabela_Belki_N[[#This Row],[hd]]</f>
        <v>0.16999999999999993</v>
      </c>
      <c r="I31" s="1">
        <f t="shared" ref="I31" si="4">PRODUCT(F31:G31)</f>
        <v>0.36359999999999998</v>
      </c>
      <c r="J31" s="1">
        <v>9.2200000000000006</v>
      </c>
      <c r="K31" s="1">
        <f>9.57-0.18</f>
        <v>9.39</v>
      </c>
      <c r="L31" s="1">
        <f>PRODUCT(Tabela_Belki_N[[#This Row],[h '[m']]],Tabela_Belki_N[[#This Row],[A '[m2']]])</f>
        <v>6.1811999999999971E-2</v>
      </c>
      <c r="M31" s="1">
        <f>PRODUCT(Tabela_Belki_N[[#This Row],[Szt.]],Tabela_Belki_N[[#This Row],[Vj '[m3']]])</f>
        <v>6.1811999999999971E-2</v>
      </c>
      <c r="N31" s="1"/>
      <c r="O31" s="1"/>
    </row>
    <row r="32" spans="2:15" ht="15.75" customHeight="1" x14ac:dyDescent="0.3">
      <c r="B32" t="s">
        <v>180</v>
      </c>
      <c r="C32" t="s">
        <v>367</v>
      </c>
      <c r="D32">
        <v>2</v>
      </c>
      <c r="E32" t="s">
        <v>233</v>
      </c>
      <c r="F32">
        <v>1.97</v>
      </c>
      <c r="G32">
        <v>0.18</v>
      </c>
      <c r="H32" s="1">
        <f>Tabela_Belki_N[[#This Row],[hg]]-Tabela_Belki_N[[#This Row],[hd]]</f>
        <v>0.16999999999999993</v>
      </c>
      <c r="I32" s="1">
        <f t="shared" si="2"/>
        <v>0.35459999999999997</v>
      </c>
      <c r="J32" s="1">
        <v>12.32</v>
      </c>
      <c r="K32" s="1">
        <f>12.67-0.18</f>
        <v>12.49</v>
      </c>
      <c r="L32" s="1">
        <f>PRODUCT(Tabela_Belki_N[[#This Row],[h '[m']]],Tabela_Belki_N[[#This Row],[A '[m2']]])</f>
        <v>6.0281999999999968E-2</v>
      </c>
      <c r="M32" s="1">
        <f>PRODUCT(Tabela_Belki_N[[#This Row],[Szt.]],Tabela_Belki_N[[#This Row],[Vj '[m3']]])</f>
        <v>0.12056399999999994</v>
      </c>
      <c r="N32" s="1" t="s">
        <v>232</v>
      </c>
      <c r="O32" s="1"/>
    </row>
    <row r="33" spans="2:15" ht="15.75" customHeight="1" x14ac:dyDescent="0.3">
      <c r="B33" t="s">
        <v>180</v>
      </c>
      <c r="C33" t="s">
        <v>367</v>
      </c>
      <c r="D33">
        <v>1</v>
      </c>
      <c r="E33" t="s">
        <v>233</v>
      </c>
      <c r="F33">
        <v>2.02</v>
      </c>
      <c r="G33">
        <v>0.18</v>
      </c>
      <c r="H33" s="1">
        <f>Tabela_Belki_N[[#This Row],[hg]]-Tabela_Belki_N[[#This Row],[hd]]</f>
        <v>0.16999999999999993</v>
      </c>
      <c r="I33" s="1">
        <f t="shared" ref="I33" si="5">PRODUCT(F33:G33)</f>
        <v>0.36359999999999998</v>
      </c>
      <c r="J33" s="1">
        <v>12.32</v>
      </c>
      <c r="K33" s="1">
        <f>12.67-0.18</f>
        <v>12.49</v>
      </c>
      <c r="L33" s="1">
        <f>PRODUCT(Tabela_Belki_N[[#This Row],[h '[m']]],Tabela_Belki_N[[#This Row],[A '[m2']]])</f>
        <v>6.1811999999999971E-2</v>
      </c>
      <c r="M33" s="1">
        <f>PRODUCT(Tabela_Belki_N[[#This Row],[Szt.]],Tabela_Belki_N[[#This Row],[Vj '[m3']]])</f>
        <v>6.1811999999999971E-2</v>
      </c>
      <c r="N33" s="1"/>
      <c r="O33" s="1"/>
    </row>
    <row r="34" spans="2:15" ht="15.75" customHeight="1" x14ac:dyDescent="0.3">
      <c r="B34" t="s">
        <v>180</v>
      </c>
      <c r="C34" t="s">
        <v>368</v>
      </c>
      <c r="D34">
        <v>2</v>
      </c>
      <c r="E34" t="s">
        <v>233</v>
      </c>
      <c r="F34">
        <v>1.97</v>
      </c>
      <c r="G34">
        <v>0.18</v>
      </c>
      <c r="H34" s="1">
        <f>Tabela_Belki_N[[#This Row],[hg]]-Tabela_Belki_N[[#This Row],[hd]]</f>
        <v>0.16999999999999993</v>
      </c>
      <c r="I34" s="1">
        <f t="shared" si="2"/>
        <v>0.35459999999999997</v>
      </c>
      <c r="J34" s="1">
        <v>15.42</v>
      </c>
      <c r="K34" s="1">
        <f>15.77-0.18</f>
        <v>15.59</v>
      </c>
      <c r="L34" s="1">
        <f>PRODUCT(Tabela_Belki_N[[#This Row],[h '[m']]],Tabela_Belki_N[[#This Row],[A '[m2']]])</f>
        <v>6.0281999999999968E-2</v>
      </c>
      <c r="M34" s="1">
        <f>PRODUCT(Tabela_Belki_N[[#This Row],[Szt.]],Tabela_Belki_N[[#This Row],[Vj '[m3']]])</f>
        <v>0.12056399999999994</v>
      </c>
      <c r="N34" s="1" t="s">
        <v>232</v>
      </c>
      <c r="O34" s="1"/>
    </row>
    <row r="35" spans="2:15" ht="15.75" customHeight="1" x14ac:dyDescent="0.3">
      <c r="B35" t="s">
        <v>180</v>
      </c>
      <c r="C35" t="s">
        <v>368</v>
      </c>
      <c r="D35">
        <v>1</v>
      </c>
      <c r="E35" t="s">
        <v>233</v>
      </c>
      <c r="F35">
        <v>2.02</v>
      </c>
      <c r="G35">
        <v>0.18</v>
      </c>
      <c r="H35" s="1">
        <f>Tabela_Belki_N[[#This Row],[hg]]-Tabela_Belki_N[[#This Row],[hd]]</f>
        <v>0.16999999999999993</v>
      </c>
      <c r="I35" s="1">
        <f t="shared" ref="I35" si="6">PRODUCT(F35:G35)</f>
        <v>0.36359999999999998</v>
      </c>
      <c r="J35" s="1">
        <v>15.42</v>
      </c>
      <c r="K35" s="1">
        <f>15.77-0.18</f>
        <v>15.59</v>
      </c>
      <c r="L35" s="1">
        <f>PRODUCT(Tabela_Belki_N[[#This Row],[h '[m']]],Tabela_Belki_N[[#This Row],[A '[m2']]])</f>
        <v>6.1811999999999971E-2</v>
      </c>
      <c r="M35" s="1">
        <f>PRODUCT(Tabela_Belki_N[[#This Row],[Szt.]],Tabela_Belki_N[[#This Row],[Vj '[m3']]])</f>
        <v>6.1811999999999971E-2</v>
      </c>
      <c r="N35" s="1"/>
      <c r="O35" s="1"/>
    </row>
    <row r="36" spans="2:15" ht="15.75" customHeight="1" x14ac:dyDescent="0.3">
      <c r="B36" t="s">
        <v>180</v>
      </c>
      <c r="C36" t="s">
        <v>365</v>
      </c>
      <c r="D36">
        <v>1</v>
      </c>
      <c r="E36" t="s">
        <v>234</v>
      </c>
      <c r="F36">
        <v>1.43</v>
      </c>
      <c r="G36">
        <v>0.18</v>
      </c>
      <c r="H36" s="1">
        <f>Tabela_Belki_N[[#This Row],[hg]]-Tabela_Belki_N[[#This Row],[hd]]</f>
        <v>0.16999999999999993</v>
      </c>
      <c r="I36" s="1">
        <f t="shared" ref="I36:I39" si="7">PRODUCT(F36:G36)</f>
        <v>0.25739999999999996</v>
      </c>
      <c r="J36" s="1">
        <v>6.12</v>
      </c>
      <c r="K36" s="1">
        <f>6.47-0.18</f>
        <v>6.29</v>
      </c>
      <c r="L36" s="1">
        <f>PRODUCT(Tabela_Belki_N[[#This Row],[h '[m']]],Tabela_Belki_N[[#This Row],[A '[m2']]])</f>
        <v>4.3757999999999977E-2</v>
      </c>
      <c r="M36" s="1">
        <f>PRODUCT(Tabela_Belki_N[[#This Row],[Szt.]],Tabela_Belki_N[[#This Row],[Vj '[m3']]])</f>
        <v>4.3757999999999977E-2</v>
      </c>
      <c r="N36" s="1"/>
      <c r="O36" s="1"/>
    </row>
    <row r="37" spans="2:15" ht="15.75" customHeight="1" x14ac:dyDescent="0.3">
      <c r="B37" t="s">
        <v>180</v>
      </c>
      <c r="C37" t="s">
        <v>366</v>
      </c>
      <c r="D37">
        <v>1</v>
      </c>
      <c r="E37" t="s">
        <v>234</v>
      </c>
      <c r="F37">
        <v>1.43</v>
      </c>
      <c r="G37">
        <v>0.18</v>
      </c>
      <c r="H37" s="1">
        <f>Tabela_Belki_N[[#This Row],[hg]]-Tabela_Belki_N[[#This Row],[hd]]</f>
        <v>0.34999999999999964</v>
      </c>
      <c r="I37" s="1">
        <f t="shared" si="7"/>
        <v>0.25739999999999996</v>
      </c>
      <c r="J37" s="1">
        <v>9.2200000000000006</v>
      </c>
      <c r="K37" s="1">
        <v>9.57</v>
      </c>
      <c r="L37" s="1">
        <f>PRODUCT(Tabela_Belki_N[[#This Row],[h '[m']]],Tabela_Belki_N[[#This Row],[A '[m2']]])</f>
        <v>9.0089999999999892E-2</v>
      </c>
      <c r="M37" s="1">
        <f>PRODUCT(Tabela_Belki_N[[#This Row],[Szt.]],Tabela_Belki_N[[#This Row],[Vj '[m3']]])</f>
        <v>9.0089999999999892E-2</v>
      </c>
      <c r="N37" s="1"/>
      <c r="O37" s="1"/>
    </row>
    <row r="38" spans="2:15" ht="15.75" customHeight="1" x14ac:dyDescent="0.3">
      <c r="B38" t="s">
        <v>180</v>
      </c>
      <c r="C38" t="s">
        <v>367</v>
      </c>
      <c r="D38">
        <v>1</v>
      </c>
      <c r="E38" t="s">
        <v>234</v>
      </c>
      <c r="F38">
        <v>1.43</v>
      </c>
      <c r="G38">
        <v>0.18</v>
      </c>
      <c r="H38" s="1">
        <f>Tabela_Belki_N[[#This Row],[hg]]-Tabela_Belki_N[[#This Row],[hd]]</f>
        <v>0.34999999999999964</v>
      </c>
      <c r="I38" s="1">
        <f t="shared" si="7"/>
        <v>0.25739999999999996</v>
      </c>
      <c r="J38" s="1">
        <v>12.32</v>
      </c>
      <c r="K38" s="1">
        <v>12.67</v>
      </c>
      <c r="L38" s="1">
        <f>PRODUCT(Tabela_Belki_N[[#This Row],[h '[m']]],Tabela_Belki_N[[#This Row],[A '[m2']]])</f>
        <v>9.0089999999999892E-2</v>
      </c>
      <c r="M38" s="1">
        <f>PRODUCT(Tabela_Belki_N[[#This Row],[Szt.]],Tabela_Belki_N[[#This Row],[Vj '[m3']]])</f>
        <v>9.0089999999999892E-2</v>
      </c>
      <c r="N38" s="1"/>
      <c r="O38" s="1"/>
    </row>
    <row r="39" spans="2:15" ht="15.75" customHeight="1" x14ac:dyDescent="0.3">
      <c r="B39" t="s">
        <v>180</v>
      </c>
      <c r="C39" t="s">
        <v>368</v>
      </c>
      <c r="D39">
        <v>1</v>
      </c>
      <c r="E39" t="s">
        <v>234</v>
      </c>
      <c r="F39">
        <v>1.43</v>
      </c>
      <c r="G39">
        <v>0.18</v>
      </c>
      <c r="H39" s="1">
        <f>Tabela_Belki_N[[#This Row],[hg]]-Tabela_Belki_N[[#This Row],[hd]]</f>
        <v>0.16999999999999993</v>
      </c>
      <c r="I39" s="1">
        <f t="shared" si="7"/>
        <v>0.25739999999999996</v>
      </c>
      <c r="J39" s="1">
        <v>15.42</v>
      </c>
      <c r="K39" s="1">
        <f>15.77-0.18</f>
        <v>15.59</v>
      </c>
      <c r="L39" s="1">
        <f>PRODUCT(Tabela_Belki_N[[#This Row],[h '[m']]],Tabela_Belki_N[[#This Row],[A '[m2']]])</f>
        <v>4.3757999999999977E-2</v>
      </c>
      <c r="M39" s="1">
        <f>PRODUCT(Tabela_Belki_N[[#This Row],[Szt.]],Tabela_Belki_N[[#This Row],[Vj '[m3']]])</f>
        <v>4.3757999999999977E-2</v>
      </c>
      <c r="N39" s="1"/>
      <c r="O39" s="1"/>
    </row>
    <row r="40" spans="2:15" ht="15.75" customHeight="1" x14ac:dyDescent="0.3">
      <c r="B40" t="s">
        <v>180</v>
      </c>
      <c r="C40" t="s">
        <v>365</v>
      </c>
      <c r="D40">
        <v>1</v>
      </c>
      <c r="E40" t="s">
        <v>231</v>
      </c>
      <c r="F40">
        <v>2.25</v>
      </c>
      <c r="G40">
        <v>0.18</v>
      </c>
      <c r="H40" s="1">
        <f>Tabela_Belki_N[[#This Row],[hg]]-Tabela_Belki_N[[#This Row],[hd]]</f>
        <v>0.5</v>
      </c>
      <c r="I40" s="1">
        <f t="shared" ref="I40:I43" si="8">PRODUCT(F40:G40)</f>
        <v>0.40499999999999997</v>
      </c>
      <c r="J40" s="1">
        <v>5.79</v>
      </c>
      <c r="K40" s="1">
        <f>6.47-0.18</f>
        <v>6.29</v>
      </c>
      <c r="L40" s="1">
        <f>PRODUCT(Tabela_Belki_N[[#This Row],[h '[m']]],Tabela_Belki_N[[#This Row],[A '[m2']]])</f>
        <v>0.20249999999999999</v>
      </c>
      <c r="M40" s="1">
        <f>PRODUCT(Tabela_Belki_N[[#This Row],[Szt.]],Tabela_Belki_N[[#This Row],[Vj '[m3']]])</f>
        <v>0.20249999999999999</v>
      </c>
      <c r="N40" s="1"/>
      <c r="O40" s="1"/>
    </row>
    <row r="41" spans="2:15" ht="15.75" customHeight="1" x14ac:dyDescent="0.3">
      <c r="B41" t="s">
        <v>180</v>
      </c>
      <c r="C41" t="s">
        <v>366</v>
      </c>
      <c r="D41">
        <v>1</v>
      </c>
      <c r="E41" t="s">
        <v>231</v>
      </c>
      <c r="F41">
        <v>2.25</v>
      </c>
      <c r="G41">
        <v>0.18</v>
      </c>
      <c r="H41" s="1">
        <f>Tabela_Belki_N[[#This Row],[hg]]-Tabela_Belki_N[[#This Row],[hd]]</f>
        <v>0.5</v>
      </c>
      <c r="I41" s="1">
        <f t="shared" si="8"/>
        <v>0.40499999999999997</v>
      </c>
      <c r="J41" s="1">
        <v>8.89</v>
      </c>
      <c r="K41" s="1">
        <f>9.57-0.18</f>
        <v>9.39</v>
      </c>
      <c r="L41" s="1">
        <f>PRODUCT(Tabela_Belki_N[[#This Row],[h '[m']]],Tabela_Belki_N[[#This Row],[A '[m2']]])</f>
        <v>0.20249999999999999</v>
      </c>
      <c r="M41" s="1">
        <f>PRODUCT(Tabela_Belki_N[[#This Row],[Szt.]],Tabela_Belki_N[[#This Row],[Vj '[m3']]])</f>
        <v>0.20249999999999999</v>
      </c>
      <c r="N41" s="1"/>
      <c r="O41" s="1"/>
    </row>
    <row r="42" spans="2:15" ht="15.75" customHeight="1" x14ac:dyDescent="0.3">
      <c r="B42" t="s">
        <v>180</v>
      </c>
      <c r="C42" t="s">
        <v>367</v>
      </c>
      <c r="D42">
        <v>1</v>
      </c>
      <c r="E42" t="s">
        <v>231</v>
      </c>
      <c r="F42">
        <v>2.25</v>
      </c>
      <c r="G42">
        <v>0.18</v>
      </c>
      <c r="H42" s="1">
        <f>Tabela_Belki_N[[#This Row],[hg]]-Tabela_Belki_N[[#This Row],[hd]]</f>
        <v>0.5</v>
      </c>
      <c r="I42" s="1">
        <f t="shared" si="8"/>
        <v>0.40499999999999997</v>
      </c>
      <c r="J42" s="1">
        <v>11.99</v>
      </c>
      <c r="K42" s="1">
        <f>12.67-0.18</f>
        <v>12.49</v>
      </c>
      <c r="L42" s="1">
        <f>PRODUCT(Tabela_Belki_N[[#This Row],[h '[m']]],Tabela_Belki_N[[#This Row],[A '[m2']]])</f>
        <v>0.20249999999999999</v>
      </c>
      <c r="M42" s="1">
        <f>PRODUCT(Tabela_Belki_N[[#This Row],[Szt.]],Tabela_Belki_N[[#This Row],[Vj '[m3']]])</f>
        <v>0.20249999999999999</v>
      </c>
      <c r="N42" s="1"/>
      <c r="O42" s="1"/>
    </row>
    <row r="43" spans="2:15" ht="15.75" customHeight="1" x14ac:dyDescent="0.3">
      <c r="B43" t="s">
        <v>180</v>
      </c>
      <c r="C43" t="s">
        <v>368</v>
      </c>
      <c r="D43">
        <v>1</v>
      </c>
      <c r="E43" t="s">
        <v>231</v>
      </c>
      <c r="F43">
        <v>2.25</v>
      </c>
      <c r="G43">
        <v>0.18</v>
      </c>
      <c r="H43" s="1">
        <f>Tabela_Belki_N[[#This Row],[hg]]-Tabela_Belki_N[[#This Row],[hd]]</f>
        <v>0.5</v>
      </c>
      <c r="I43" s="1">
        <f t="shared" si="8"/>
        <v>0.40499999999999997</v>
      </c>
      <c r="J43" s="1">
        <v>15.09</v>
      </c>
      <c r="K43" s="1">
        <f>15.77-0.18</f>
        <v>15.59</v>
      </c>
      <c r="L43" s="1">
        <f>PRODUCT(Tabela_Belki_N[[#This Row],[h '[m']]],Tabela_Belki_N[[#This Row],[A '[m2']]])</f>
        <v>0.20249999999999999</v>
      </c>
      <c r="M43" s="1">
        <f>PRODUCT(Tabela_Belki_N[[#This Row],[Szt.]],Tabela_Belki_N[[#This Row],[Vj '[m3']]])</f>
        <v>0.20249999999999999</v>
      </c>
      <c r="N43" s="1"/>
      <c r="O43" s="1"/>
    </row>
    <row r="44" spans="2:15" ht="15.75" customHeight="1" x14ac:dyDescent="0.3">
      <c r="B44" t="s">
        <v>180</v>
      </c>
      <c r="C44" t="s">
        <v>365</v>
      </c>
      <c r="D44">
        <v>1</v>
      </c>
      <c r="E44" t="s">
        <v>179</v>
      </c>
      <c r="F44">
        <v>1.23</v>
      </c>
      <c r="G44">
        <v>0.18</v>
      </c>
      <c r="H44" s="1">
        <f>Tabela_Belki_N[[#This Row],[hg]]-Tabela_Belki_N[[#This Row],[hd]]</f>
        <v>0.16999999999999993</v>
      </c>
      <c r="I44" s="1">
        <f t="shared" ref="I44" si="9">PRODUCT(F44:G44)</f>
        <v>0.22139999999999999</v>
      </c>
      <c r="J44" s="1">
        <v>6.12</v>
      </c>
      <c r="K44" s="1">
        <f>6.47-0.18</f>
        <v>6.29</v>
      </c>
      <c r="L44" s="1">
        <f>PRODUCT(Tabela_Belki_N[[#This Row],[h '[m']]],Tabela_Belki_N[[#This Row],[A '[m2']]])</f>
        <v>3.7637999999999984E-2</v>
      </c>
      <c r="M44" s="1">
        <f>PRODUCT(Tabela_Belki_N[[#This Row],[Szt.]],Tabela_Belki_N[[#This Row],[Vj '[m3']]])</f>
        <v>3.7637999999999984E-2</v>
      </c>
      <c r="N44" s="1"/>
      <c r="O44" s="1"/>
    </row>
    <row r="45" spans="2:15" ht="15.75" customHeight="1" x14ac:dyDescent="0.3">
      <c r="B45" t="s">
        <v>180</v>
      </c>
      <c r="C45" t="s">
        <v>365</v>
      </c>
      <c r="D45">
        <v>1</v>
      </c>
      <c r="E45" t="s">
        <v>179</v>
      </c>
      <c r="F45">
        <v>1.29</v>
      </c>
      <c r="G45">
        <v>0.18</v>
      </c>
      <c r="H45" s="1">
        <f>Tabela_Belki_N[[#This Row],[hg]]-Tabela_Belki_N[[#This Row],[hd]]</f>
        <v>0.16999999999999993</v>
      </c>
      <c r="I45" s="1">
        <f t="shared" ref="I45" si="10">PRODUCT(F45:G45)</f>
        <v>0.23219999999999999</v>
      </c>
      <c r="J45" s="1">
        <v>6.12</v>
      </c>
      <c r="K45" s="1">
        <f>6.47-0.18</f>
        <v>6.29</v>
      </c>
      <c r="L45" s="1">
        <f>PRODUCT(Tabela_Belki_N[[#This Row],[h '[m']]],Tabela_Belki_N[[#This Row],[A '[m2']]])</f>
        <v>3.9473999999999981E-2</v>
      </c>
      <c r="M45" s="1">
        <f>PRODUCT(Tabela_Belki_N[[#This Row],[Szt.]],Tabela_Belki_N[[#This Row],[Vj '[m3']]])</f>
        <v>3.9473999999999981E-2</v>
      </c>
      <c r="N45" s="1"/>
      <c r="O45" s="1"/>
    </row>
    <row r="46" spans="2:15" ht="15.75" customHeight="1" x14ac:dyDescent="0.3">
      <c r="B46" t="s">
        <v>180</v>
      </c>
      <c r="C46" t="s">
        <v>366</v>
      </c>
      <c r="D46">
        <v>1</v>
      </c>
      <c r="E46" t="s">
        <v>179</v>
      </c>
      <c r="F46">
        <v>1.23</v>
      </c>
      <c r="G46">
        <v>0.18</v>
      </c>
      <c r="H46" s="1">
        <f>Tabela_Belki_N[[#This Row],[hg]]-Tabela_Belki_N[[#This Row],[hd]]</f>
        <v>0.16999999999999993</v>
      </c>
      <c r="I46" s="1">
        <f t="shared" ref="I46:I51" si="11">PRODUCT(F46:G46)</f>
        <v>0.22139999999999999</v>
      </c>
      <c r="J46" s="1">
        <v>9.2200000000000006</v>
      </c>
      <c r="K46" s="1">
        <f>9.57-0.18</f>
        <v>9.39</v>
      </c>
      <c r="L46" s="1">
        <f>PRODUCT(Tabela_Belki_N[[#This Row],[h '[m']]],Tabela_Belki_N[[#This Row],[A '[m2']]])</f>
        <v>3.7637999999999984E-2</v>
      </c>
      <c r="M46" s="1">
        <f>PRODUCT(Tabela_Belki_N[[#This Row],[Szt.]],Tabela_Belki_N[[#This Row],[Vj '[m3']]])</f>
        <v>3.7637999999999984E-2</v>
      </c>
      <c r="N46" s="1"/>
      <c r="O46" s="1"/>
    </row>
    <row r="47" spans="2:15" ht="15.75" customHeight="1" x14ac:dyDescent="0.3">
      <c r="B47" t="s">
        <v>180</v>
      </c>
      <c r="C47" t="s">
        <v>366</v>
      </c>
      <c r="D47">
        <v>1</v>
      </c>
      <c r="E47" t="s">
        <v>179</v>
      </c>
      <c r="F47">
        <v>1.29</v>
      </c>
      <c r="G47">
        <v>0.18</v>
      </c>
      <c r="H47" s="1">
        <f>Tabela_Belki_N[[#This Row],[hg]]-Tabela_Belki_N[[#This Row],[hd]]</f>
        <v>0.16999999999999993</v>
      </c>
      <c r="I47" s="1">
        <f t="shared" si="11"/>
        <v>0.23219999999999999</v>
      </c>
      <c r="J47" s="1">
        <v>9.2200000000000006</v>
      </c>
      <c r="K47" s="1">
        <f>9.57-0.18</f>
        <v>9.39</v>
      </c>
      <c r="L47" s="1">
        <f>PRODUCT(Tabela_Belki_N[[#This Row],[h '[m']]],Tabela_Belki_N[[#This Row],[A '[m2']]])</f>
        <v>3.9473999999999981E-2</v>
      </c>
      <c r="M47" s="1">
        <f>PRODUCT(Tabela_Belki_N[[#This Row],[Szt.]],Tabela_Belki_N[[#This Row],[Vj '[m3']]])</f>
        <v>3.9473999999999981E-2</v>
      </c>
      <c r="N47" s="1"/>
      <c r="O47" s="1"/>
    </row>
    <row r="48" spans="2:15" ht="15.75" customHeight="1" x14ac:dyDescent="0.3">
      <c r="B48" t="s">
        <v>180</v>
      </c>
      <c r="C48" t="s">
        <v>367</v>
      </c>
      <c r="D48">
        <v>1</v>
      </c>
      <c r="E48" t="s">
        <v>179</v>
      </c>
      <c r="F48">
        <v>1.23</v>
      </c>
      <c r="G48">
        <v>0.18</v>
      </c>
      <c r="H48" s="1">
        <f>Tabela_Belki_N[[#This Row],[hg]]-Tabela_Belki_N[[#This Row],[hd]]</f>
        <v>0.16999999999999993</v>
      </c>
      <c r="I48" s="1">
        <f t="shared" si="11"/>
        <v>0.22139999999999999</v>
      </c>
      <c r="J48" s="1">
        <v>12.32</v>
      </c>
      <c r="K48" s="1">
        <f>12.67-0.18</f>
        <v>12.49</v>
      </c>
      <c r="L48" s="1">
        <f>PRODUCT(Tabela_Belki_N[[#This Row],[h '[m']]],Tabela_Belki_N[[#This Row],[A '[m2']]])</f>
        <v>3.7637999999999984E-2</v>
      </c>
      <c r="M48" s="1">
        <f>PRODUCT(Tabela_Belki_N[[#This Row],[Szt.]],Tabela_Belki_N[[#This Row],[Vj '[m3']]])</f>
        <v>3.7637999999999984E-2</v>
      </c>
      <c r="N48" s="1"/>
      <c r="O48" s="1"/>
    </row>
    <row r="49" spans="2:15" ht="15.75" customHeight="1" x14ac:dyDescent="0.3">
      <c r="B49" t="s">
        <v>180</v>
      </c>
      <c r="C49" t="s">
        <v>367</v>
      </c>
      <c r="D49">
        <v>1</v>
      </c>
      <c r="E49" t="s">
        <v>179</v>
      </c>
      <c r="F49">
        <v>1.29</v>
      </c>
      <c r="G49">
        <v>0.18</v>
      </c>
      <c r="H49" s="1">
        <f>Tabela_Belki_N[[#This Row],[hg]]-Tabela_Belki_N[[#This Row],[hd]]</f>
        <v>0.16999999999999993</v>
      </c>
      <c r="I49" s="1">
        <f t="shared" ref="I49" si="12">PRODUCT(F49:G49)</f>
        <v>0.23219999999999999</v>
      </c>
      <c r="J49" s="1">
        <v>12.32</v>
      </c>
      <c r="K49" s="1">
        <f>12.67-0.18</f>
        <v>12.49</v>
      </c>
      <c r="L49" s="1">
        <f>PRODUCT(Tabela_Belki_N[[#This Row],[h '[m']]],Tabela_Belki_N[[#This Row],[A '[m2']]])</f>
        <v>3.9473999999999981E-2</v>
      </c>
      <c r="M49" s="1">
        <f>PRODUCT(Tabela_Belki_N[[#This Row],[Szt.]],Tabela_Belki_N[[#This Row],[Vj '[m3']]])</f>
        <v>3.9473999999999981E-2</v>
      </c>
      <c r="N49" s="1"/>
      <c r="O49" s="1"/>
    </row>
    <row r="50" spans="2:15" ht="15.75" customHeight="1" x14ac:dyDescent="0.3">
      <c r="B50" t="s">
        <v>180</v>
      </c>
      <c r="C50" t="s">
        <v>368</v>
      </c>
      <c r="D50">
        <v>1</v>
      </c>
      <c r="E50" t="s">
        <v>179</v>
      </c>
      <c r="F50">
        <v>1.23</v>
      </c>
      <c r="G50">
        <v>0.18</v>
      </c>
      <c r="H50" s="1">
        <f>Tabela_Belki_N[[#This Row],[hg]]-Tabela_Belki_N[[#This Row],[hd]]</f>
        <v>0.16999999999999993</v>
      </c>
      <c r="I50" s="1">
        <f t="shared" si="11"/>
        <v>0.22139999999999999</v>
      </c>
      <c r="J50" s="1">
        <v>15.42</v>
      </c>
      <c r="K50" s="1">
        <f>15.77-0.18</f>
        <v>15.59</v>
      </c>
      <c r="L50" s="1">
        <f>PRODUCT(Tabela_Belki_N[[#This Row],[h '[m']]],Tabela_Belki_N[[#This Row],[A '[m2']]])</f>
        <v>3.7637999999999984E-2</v>
      </c>
      <c r="M50" s="1">
        <f>PRODUCT(Tabela_Belki_N[[#This Row],[Szt.]],Tabela_Belki_N[[#This Row],[Vj '[m3']]])</f>
        <v>3.7637999999999984E-2</v>
      </c>
      <c r="N50" s="1"/>
      <c r="O50" s="1"/>
    </row>
    <row r="51" spans="2:15" ht="15.75" customHeight="1" x14ac:dyDescent="0.3">
      <c r="B51" t="s">
        <v>180</v>
      </c>
      <c r="C51" t="s">
        <v>368</v>
      </c>
      <c r="D51">
        <v>1</v>
      </c>
      <c r="E51" t="s">
        <v>179</v>
      </c>
      <c r="F51">
        <v>1.29</v>
      </c>
      <c r="G51">
        <v>0.18</v>
      </c>
      <c r="H51" s="1">
        <f>Tabela_Belki_N[[#This Row],[hg]]-Tabela_Belki_N[[#This Row],[hd]]</f>
        <v>0.16999999999999993</v>
      </c>
      <c r="I51" s="1">
        <f t="shared" si="11"/>
        <v>0.23219999999999999</v>
      </c>
      <c r="J51" s="1">
        <v>15.42</v>
      </c>
      <c r="K51" s="1">
        <f>15.77-0.18</f>
        <v>15.59</v>
      </c>
      <c r="L51" s="1">
        <f>PRODUCT(Tabela_Belki_N[[#This Row],[h '[m']]],Tabela_Belki_N[[#This Row],[A '[m2']]])</f>
        <v>3.9473999999999981E-2</v>
      </c>
      <c r="M51" s="1">
        <f>PRODUCT(Tabela_Belki_N[[#This Row],[Szt.]],Tabela_Belki_N[[#This Row],[Vj '[m3']]])</f>
        <v>3.9473999999999981E-2</v>
      </c>
      <c r="N51" s="1"/>
      <c r="O51" s="1"/>
    </row>
    <row r="52" spans="2:15" ht="15.75" customHeight="1" x14ac:dyDescent="0.3">
      <c r="B52" t="s">
        <v>180</v>
      </c>
      <c r="C52" t="s">
        <v>365</v>
      </c>
      <c r="D52">
        <v>3</v>
      </c>
      <c r="E52" t="s">
        <v>237</v>
      </c>
      <c r="F52">
        <v>2.62</v>
      </c>
      <c r="G52">
        <v>0.35</v>
      </c>
      <c r="H52" s="1">
        <f>Tabela_Belki_N[[#This Row],[hg]]-Tabela_Belki_N[[#This Row],[hd]]</f>
        <v>0.29999999999999982</v>
      </c>
      <c r="I52" s="1">
        <f t="shared" ref="I52" si="13">PRODUCT(F52:G52)</f>
        <v>0.91699999999999993</v>
      </c>
      <c r="J52" s="1">
        <v>5.99</v>
      </c>
      <c r="K52" s="1">
        <f>6.47-0.18</f>
        <v>6.29</v>
      </c>
      <c r="L52" s="1">
        <f>PRODUCT(Tabela_Belki_N[[#This Row],[h '[m']]],Tabela_Belki_N[[#This Row],[A '[m2']]])</f>
        <v>0.27509999999999979</v>
      </c>
      <c r="M52" s="1">
        <f>PRODUCT(Tabela_Belki_N[[#This Row],[Szt.]],Tabela_Belki_N[[#This Row],[Vj '[m3']]])</f>
        <v>0.82529999999999937</v>
      </c>
      <c r="N52" s="1"/>
      <c r="O52" s="1"/>
    </row>
    <row r="53" spans="2:15" ht="15.75" customHeight="1" x14ac:dyDescent="0.3">
      <c r="B53" t="s">
        <v>180</v>
      </c>
      <c r="C53" t="s">
        <v>366</v>
      </c>
      <c r="D53">
        <v>3</v>
      </c>
      <c r="E53" t="s">
        <v>237</v>
      </c>
      <c r="F53">
        <v>2.62</v>
      </c>
      <c r="G53">
        <v>0.35</v>
      </c>
      <c r="H53" s="1">
        <f>Tabela_Belki_N[[#This Row],[hg]]-Tabela_Belki_N[[#This Row],[hd]]</f>
        <v>0.30000000000000071</v>
      </c>
      <c r="I53" s="1">
        <f t="shared" ref="I53:I62" si="14">PRODUCT(F53:G53)</f>
        <v>0.91699999999999993</v>
      </c>
      <c r="J53" s="1">
        <v>9.09</v>
      </c>
      <c r="K53" s="1">
        <f>9.57-0.18</f>
        <v>9.39</v>
      </c>
      <c r="L53" s="1">
        <f>PRODUCT(Tabela_Belki_N[[#This Row],[h '[m']]],Tabela_Belki_N[[#This Row],[A '[m2']]])</f>
        <v>0.27510000000000062</v>
      </c>
      <c r="M53" s="1">
        <f>PRODUCT(Tabela_Belki_N[[#This Row],[Szt.]],Tabela_Belki_N[[#This Row],[Vj '[m3']]])</f>
        <v>0.82530000000000192</v>
      </c>
      <c r="N53" s="1"/>
      <c r="O53" s="1"/>
    </row>
    <row r="54" spans="2:15" ht="15.75" customHeight="1" x14ac:dyDescent="0.3">
      <c r="B54" t="s">
        <v>180</v>
      </c>
      <c r="C54" t="s">
        <v>367</v>
      </c>
      <c r="D54">
        <v>3</v>
      </c>
      <c r="E54" t="s">
        <v>237</v>
      </c>
      <c r="F54">
        <v>2.62</v>
      </c>
      <c r="G54">
        <v>0.35</v>
      </c>
      <c r="H54" s="1">
        <f>Tabela_Belki_N[[#This Row],[hg]]-Tabela_Belki_N[[#This Row],[hd]]</f>
        <v>0.30000000000000071</v>
      </c>
      <c r="I54" s="1">
        <f t="shared" ref="I54" si="15">PRODUCT(F54:G54)</f>
        <v>0.91699999999999993</v>
      </c>
      <c r="J54" s="1">
        <v>12.19</v>
      </c>
      <c r="K54" s="1">
        <f>12.67-0.18</f>
        <v>12.49</v>
      </c>
      <c r="L54" s="1">
        <f>PRODUCT(Tabela_Belki_N[[#This Row],[h '[m']]],Tabela_Belki_N[[#This Row],[A '[m2']]])</f>
        <v>0.27510000000000062</v>
      </c>
      <c r="M54" s="1">
        <f>PRODUCT(Tabela_Belki_N[[#This Row],[Szt.]],Tabela_Belki_N[[#This Row],[Vj '[m3']]])</f>
        <v>0.82530000000000192</v>
      </c>
      <c r="N54" s="1"/>
      <c r="O54" s="1"/>
    </row>
    <row r="55" spans="2:15" ht="15.75" customHeight="1" x14ac:dyDescent="0.3">
      <c r="B55" t="s">
        <v>187</v>
      </c>
      <c r="C55" t="s">
        <v>365</v>
      </c>
      <c r="D55">
        <v>1</v>
      </c>
      <c r="E55" t="s">
        <v>182</v>
      </c>
      <c r="F55">
        <v>2.04</v>
      </c>
      <c r="G55">
        <v>0.18</v>
      </c>
      <c r="H55" s="1">
        <f>Tabela_Belki_N[[#This Row],[hg]]-Tabela_Belki_N[[#This Row],[hd]]</f>
        <v>0.5</v>
      </c>
      <c r="I55" s="1">
        <f t="shared" ref="I55:I58" si="16">PRODUCT(F55:G55)</f>
        <v>0.36719999999999997</v>
      </c>
      <c r="J55" s="1">
        <v>5.79</v>
      </c>
      <c r="K55" s="1">
        <f>6.47-0.18</f>
        <v>6.29</v>
      </c>
      <c r="L55" s="1">
        <f>PRODUCT(Tabela_Belki_N[[#This Row],[h '[m']]],Tabela_Belki_N[[#This Row],[A '[m2']]])</f>
        <v>0.18359999999999999</v>
      </c>
      <c r="M55" s="1">
        <f>PRODUCT(Tabela_Belki_N[[#This Row],[Szt.]],Tabela_Belki_N[[#This Row],[Vj '[m3']]])</f>
        <v>0.18359999999999999</v>
      </c>
      <c r="N55" s="1"/>
      <c r="O55" s="1"/>
    </row>
    <row r="56" spans="2:15" ht="15.75" customHeight="1" x14ac:dyDescent="0.3">
      <c r="B56" t="s">
        <v>187</v>
      </c>
      <c r="C56" t="s">
        <v>366</v>
      </c>
      <c r="D56">
        <v>1</v>
      </c>
      <c r="E56" t="s">
        <v>182</v>
      </c>
      <c r="F56">
        <v>2.04</v>
      </c>
      <c r="G56">
        <v>0.18</v>
      </c>
      <c r="H56" s="1">
        <f>Tabela_Belki_N[[#This Row],[hg]]-Tabela_Belki_N[[#This Row],[hd]]</f>
        <v>0.5</v>
      </c>
      <c r="I56" s="1">
        <f t="shared" si="16"/>
        <v>0.36719999999999997</v>
      </c>
      <c r="J56" s="1">
        <v>8.89</v>
      </c>
      <c r="K56" s="1">
        <f>9.57-0.18</f>
        <v>9.39</v>
      </c>
      <c r="L56" s="1">
        <f>PRODUCT(Tabela_Belki_N[[#This Row],[h '[m']]],Tabela_Belki_N[[#This Row],[A '[m2']]])</f>
        <v>0.18359999999999999</v>
      </c>
      <c r="M56" s="1">
        <f>PRODUCT(Tabela_Belki_N[[#This Row],[Szt.]],Tabela_Belki_N[[#This Row],[Vj '[m3']]])</f>
        <v>0.18359999999999999</v>
      </c>
      <c r="N56" s="1"/>
      <c r="O56" s="1"/>
    </row>
    <row r="57" spans="2:15" ht="15.75" customHeight="1" x14ac:dyDescent="0.3">
      <c r="B57" t="s">
        <v>187</v>
      </c>
      <c r="C57" t="s">
        <v>367</v>
      </c>
      <c r="D57">
        <v>1</v>
      </c>
      <c r="E57" t="s">
        <v>182</v>
      </c>
      <c r="F57">
        <v>2.04</v>
      </c>
      <c r="G57">
        <v>0.18</v>
      </c>
      <c r="H57" s="1">
        <f>Tabela_Belki_N[[#This Row],[hg]]-Tabela_Belki_N[[#This Row],[hd]]</f>
        <v>0.5</v>
      </c>
      <c r="I57" s="1">
        <f t="shared" si="16"/>
        <v>0.36719999999999997</v>
      </c>
      <c r="J57" s="1">
        <v>11.99</v>
      </c>
      <c r="K57" s="1">
        <f>12.67-0.18</f>
        <v>12.49</v>
      </c>
      <c r="L57" s="1">
        <f>PRODUCT(Tabela_Belki_N[[#This Row],[h '[m']]],Tabela_Belki_N[[#This Row],[A '[m2']]])</f>
        <v>0.18359999999999999</v>
      </c>
      <c r="M57" s="1">
        <f>PRODUCT(Tabela_Belki_N[[#This Row],[Szt.]],Tabela_Belki_N[[#This Row],[Vj '[m3']]])</f>
        <v>0.18359999999999999</v>
      </c>
      <c r="N57" s="1"/>
      <c r="O57" s="1"/>
    </row>
    <row r="58" spans="2:15" ht="15.75" customHeight="1" x14ac:dyDescent="0.3">
      <c r="B58" t="s">
        <v>187</v>
      </c>
      <c r="C58" t="s">
        <v>368</v>
      </c>
      <c r="D58">
        <v>1</v>
      </c>
      <c r="E58" t="s">
        <v>182</v>
      </c>
      <c r="F58">
        <v>2.04</v>
      </c>
      <c r="G58">
        <v>0.18</v>
      </c>
      <c r="H58" s="1">
        <f>Tabela_Belki_N[[#This Row],[hg]]-Tabela_Belki_N[[#This Row],[hd]]</f>
        <v>0.5</v>
      </c>
      <c r="I58" s="1">
        <f t="shared" si="16"/>
        <v>0.36719999999999997</v>
      </c>
      <c r="J58" s="1">
        <v>15.09</v>
      </c>
      <c r="K58" s="1">
        <f>15.77-0.18</f>
        <v>15.59</v>
      </c>
      <c r="L58" s="1">
        <f>PRODUCT(Tabela_Belki_N[[#This Row],[h '[m']]],Tabela_Belki_N[[#This Row],[A '[m2']]])</f>
        <v>0.18359999999999999</v>
      </c>
      <c r="M58" s="1">
        <f>PRODUCT(Tabela_Belki_N[[#This Row],[Szt.]],Tabela_Belki_N[[#This Row],[Vj '[m3']]])</f>
        <v>0.18359999999999999</v>
      </c>
      <c r="N58" s="1"/>
      <c r="O58" s="1"/>
    </row>
    <row r="59" spans="2:15" ht="15.75" customHeight="1" x14ac:dyDescent="0.3">
      <c r="B59" t="s">
        <v>181</v>
      </c>
      <c r="C59" t="s">
        <v>366</v>
      </c>
      <c r="E59" t="s">
        <v>183</v>
      </c>
      <c r="F59">
        <v>64.180000000000007</v>
      </c>
      <c r="G59">
        <v>0.18</v>
      </c>
      <c r="H59" s="1">
        <f>Tabela_Belki_N[[#This Row],[hg]]-Tabela_Belki_N[[#This Row],[hd]]</f>
        <v>0.5</v>
      </c>
      <c r="I59" s="1">
        <f t="shared" si="14"/>
        <v>11.5524</v>
      </c>
      <c r="J59" s="1">
        <v>8.89</v>
      </c>
      <c r="K59" s="1">
        <f>9.57-0.18</f>
        <v>9.39</v>
      </c>
      <c r="L59" s="1">
        <f>PRODUCT(Tabela_Belki_N[[#This Row],[h '[m']]],Tabela_Belki_N[[#This Row],[A '[m2']]])</f>
        <v>5.7762000000000002</v>
      </c>
      <c r="M59" s="1">
        <f>PRODUCT(Tabela_Belki_N[[#This Row],[Szt.]],Tabela_Belki_N[[#This Row],[Vj '[m3']]])</f>
        <v>5.7762000000000002</v>
      </c>
      <c r="N59" s="1"/>
      <c r="O59" s="1"/>
    </row>
    <row r="60" spans="2:15" ht="15.75" customHeight="1" x14ac:dyDescent="0.3">
      <c r="B60" t="s">
        <v>181</v>
      </c>
      <c r="C60" t="s">
        <v>366</v>
      </c>
      <c r="D60">
        <v>2</v>
      </c>
      <c r="E60" t="s">
        <v>183</v>
      </c>
      <c r="F60">
        <v>0.63</v>
      </c>
      <c r="G60">
        <v>0.18</v>
      </c>
      <c r="H60" s="1">
        <f>Tabela_Belki_N[[#This Row],[hg]]-Tabela_Belki_N[[#This Row],[hd]]</f>
        <v>0.5</v>
      </c>
      <c r="I60" s="1">
        <f t="shared" ref="I60" si="17">PRODUCT(F60:G60)</f>
        <v>0.1134</v>
      </c>
      <c r="J60" s="1">
        <v>8.89</v>
      </c>
      <c r="K60" s="1">
        <f t="shared" ref="K60:K70" si="18">9.57-0.18</f>
        <v>9.39</v>
      </c>
      <c r="L60" s="1">
        <f>PRODUCT(Tabela_Belki_N[[#This Row],[h '[m']]],Tabela_Belki_N[[#This Row],[A '[m2']]])</f>
        <v>5.67E-2</v>
      </c>
      <c r="M60" s="1">
        <f>PRODUCT(Tabela_Belki_N[[#This Row],[Szt.]],Tabela_Belki_N[[#This Row],[Vj '[m3']]])</f>
        <v>0.1134</v>
      </c>
      <c r="N60" s="1" t="s">
        <v>254</v>
      </c>
      <c r="O60" s="1"/>
    </row>
    <row r="61" spans="2:15" ht="15.75" customHeight="1" x14ac:dyDescent="0.3">
      <c r="B61" t="s">
        <v>181</v>
      </c>
      <c r="C61" t="s">
        <v>366</v>
      </c>
      <c r="D61">
        <v>10</v>
      </c>
      <c r="E61" t="s">
        <v>183</v>
      </c>
      <c r="F61">
        <v>0.93</v>
      </c>
      <c r="G61">
        <v>0.18</v>
      </c>
      <c r="H61" s="1">
        <f>Tabela_Belki_N[[#This Row],[hg]]-Tabela_Belki_N[[#This Row],[hd]]</f>
        <v>0.5</v>
      </c>
      <c r="I61" s="1">
        <f t="shared" si="14"/>
        <v>0.16739999999999999</v>
      </c>
      <c r="J61" s="1">
        <v>8.89</v>
      </c>
      <c r="K61" s="1">
        <f t="shared" si="18"/>
        <v>9.39</v>
      </c>
      <c r="L61" s="1">
        <f>PRODUCT(Tabela_Belki_N[[#This Row],[h '[m']]],Tabela_Belki_N[[#This Row],[A '[m2']]])</f>
        <v>8.3699999999999997E-2</v>
      </c>
      <c r="M61" s="1">
        <f>PRODUCT(Tabela_Belki_N[[#This Row],[Szt.]],Tabela_Belki_N[[#This Row],[Vj '[m3']]])</f>
        <v>0.83699999999999997</v>
      </c>
      <c r="N61" s="1" t="s">
        <v>254</v>
      </c>
      <c r="O61" s="1"/>
    </row>
    <row r="62" spans="2:15" ht="15.75" customHeight="1" x14ac:dyDescent="0.3">
      <c r="B62" t="s">
        <v>181</v>
      </c>
      <c r="C62" t="s">
        <v>366</v>
      </c>
      <c r="D62">
        <v>1</v>
      </c>
      <c r="E62" t="s">
        <v>183</v>
      </c>
      <c r="F62">
        <v>1.42</v>
      </c>
      <c r="G62">
        <v>0.18</v>
      </c>
      <c r="H62" s="1">
        <f>Tabela_Belki_N[[#This Row],[hg]]-Tabela_Belki_N[[#This Row],[hd]]</f>
        <v>0.5</v>
      </c>
      <c r="I62" s="1">
        <f t="shared" si="14"/>
        <v>0.25559999999999999</v>
      </c>
      <c r="J62" s="1">
        <v>8.89</v>
      </c>
      <c r="K62" s="1">
        <f>9.57-0.18</f>
        <v>9.39</v>
      </c>
      <c r="L62" s="1">
        <f>PRODUCT(Tabela_Belki_N[[#This Row],[h '[m']]],Tabela_Belki_N[[#This Row],[A '[m2']]])</f>
        <v>0.1278</v>
      </c>
      <c r="M62" s="1">
        <f>PRODUCT(Tabela_Belki_N[[#This Row],[Szt.]],Tabela_Belki_N[[#This Row],[Vj '[m3']]])</f>
        <v>0.1278</v>
      </c>
      <c r="N62" s="1" t="s">
        <v>254</v>
      </c>
      <c r="O62" s="1"/>
    </row>
    <row r="63" spans="2:15" ht="15.75" customHeight="1" x14ac:dyDescent="0.3">
      <c r="B63" t="s">
        <v>181</v>
      </c>
      <c r="C63" t="s">
        <v>366</v>
      </c>
      <c r="D63">
        <v>13</v>
      </c>
      <c r="E63" t="s">
        <v>183</v>
      </c>
      <c r="F63">
        <v>1.43</v>
      </c>
      <c r="G63">
        <v>0.18</v>
      </c>
      <c r="H63" s="1">
        <f>Tabela_Belki_N[[#This Row],[hg]]-Tabela_Belki_N[[#This Row],[hd]]</f>
        <v>0.5</v>
      </c>
      <c r="I63" s="1">
        <f t="shared" ref="I63" si="19">PRODUCT(F63:G63)</f>
        <v>0.25739999999999996</v>
      </c>
      <c r="J63" s="1">
        <v>8.89</v>
      </c>
      <c r="K63" s="1">
        <f>9.57-0.18</f>
        <v>9.39</v>
      </c>
      <c r="L63" s="1">
        <f>PRODUCT(Tabela_Belki_N[[#This Row],[h '[m']]],Tabela_Belki_N[[#This Row],[A '[m2']]])</f>
        <v>0.12869999999999998</v>
      </c>
      <c r="M63" s="1">
        <f>PRODUCT(Tabela_Belki_N[[#This Row],[Szt.]],Tabela_Belki_N[[#This Row],[Vj '[m3']]])</f>
        <v>1.6730999999999998</v>
      </c>
      <c r="N63" s="1" t="s">
        <v>254</v>
      </c>
      <c r="O63" s="1"/>
    </row>
    <row r="64" spans="2:15" ht="15.75" customHeight="1" x14ac:dyDescent="0.3">
      <c r="B64" t="s">
        <v>181</v>
      </c>
      <c r="C64" t="s">
        <v>366</v>
      </c>
      <c r="D64">
        <v>2</v>
      </c>
      <c r="E64" t="s">
        <v>183</v>
      </c>
      <c r="F64">
        <v>1.63</v>
      </c>
      <c r="G64">
        <v>0.18</v>
      </c>
      <c r="H64" s="1">
        <f>Tabela_Belki_N[[#This Row],[hg]]-Tabela_Belki_N[[#This Row],[hd]]</f>
        <v>0.5</v>
      </c>
      <c r="I64" s="1">
        <f t="shared" ref="I64:I68" si="20">PRODUCT(F64:G64)</f>
        <v>0.29339999999999999</v>
      </c>
      <c r="J64" s="1">
        <v>8.89</v>
      </c>
      <c r="K64" s="1">
        <f t="shared" si="18"/>
        <v>9.39</v>
      </c>
      <c r="L64" s="1">
        <f>PRODUCT(Tabela_Belki_N[[#This Row],[h '[m']]],Tabela_Belki_N[[#This Row],[A '[m2']]])</f>
        <v>0.1467</v>
      </c>
      <c r="M64" s="1">
        <f>PRODUCT(Tabela_Belki_N[[#This Row],[Szt.]],Tabela_Belki_N[[#This Row],[Vj '[m3']]])</f>
        <v>0.29339999999999999</v>
      </c>
      <c r="N64" s="1" t="s">
        <v>254</v>
      </c>
      <c r="O64" s="1"/>
    </row>
    <row r="65" spans="2:15" ht="15.75" customHeight="1" x14ac:dyDescent="0.3">
      <c r="B65" t="s">
        <v>181</v>
      </c>
      <c r="C65" t="s">
        <v>366</v>
      </c>
      <c r="D65">
        <v>1</v>
      </c>
      <c r="E65" t="s">
        <v>183</v>
      </c>
      <c r="F65">
        <v>1.82</v>
      </c>
      <c r="G65">
        <v>0.18</v>
      </c>
      <c r="H65" s="1">
        <f>Tabela_Belki_N[[#This Row],[hg]]-Tabela_Belki_N[[#This Row],[hd]]</f>
        <v>0.5</v>
      </c>
      <c r="I65" s="1">
        <f>PRODUCT(F65:G65)</f>
        <v>0.3276</v>
      </c>
      <c r="J65" s="1">
        <v>8.89</v>
      </c>
      <c r="K65" s="1">
        <f t="shared" si="18"/>
        <v>9.39</v>
      </c>
      <c r="L65" s="1">
        <f>PRODUCT(Tabela_Belki_N[[#This Row],[h '[m']]],Tabela_Belki_N[[#This Row],[A '[m2']]])</f>
        <v>0.1638</v>
      </c>
      <c r="M65" s="1">
        <f>PRODUCT(Tabela_Belki_N[[#This Row],[Szt.]],Tabela_Belki_N[[#This Row],[Vj '[m3']]])</f>
        <v>0.1638</v>
      </c>
      <c r="N65" s="1" t="s">
        <v>254</v>
      </c>
      <c r="O65" s="1"/>
    </row>
    <row r="66" spans="2:15" ht="15.75" customHeight="1" x14ac:dyDescent="0.3">
      <c r="B66" t="s">
        <v>181</v>
      </c>
      <c r="C66" t="s">
        <v>366</v>
      </c>
      <c r="D66">
        <v>6</v>
      </c>
      <c r="E66" t="s">
        <v>183</v>
      </c>
      <c r="F66">
        <v>1.83</v>
      </c>
      <c r="G66">
        <v>0.18</v>
      </c>
      <c r="H66" s="1">
        <f>Tabela_Belki_N[[#This Row],[hg]]-Tabela_Belki_N[[#This Row],[hd]]</f>
        <v>0.5</v>
      </c>
      <c r="I66" s="1">
        <f t="shared" si="20"/>
        <v>0.32940000000000003</v>
      </c>
      <c r="J66" s="1">
        <v>8.89</v>
      </c>
      <c r="K66" s="1">
        <f t="shared" si="18"/>
        <v>9.39</v>
      </c>
      <c r="L66" s="1">
        <f>PRODUCT(Tabela_Belki_N[[#This Row],[h '[m']]],Tabela_Belki_N[[#This Row],[A '[m2']]])</f>
        <v>0.16470000000000001</v>
      </c>
      <c r="M66" s="1">
        <f>PRODUCT(Tabela_Belki_N[[#This Row],[Szt.]],Tabela_Belki_N[[#This Row],[Vj '[m3']]])</f>
        <v>0.98820000000000008</v>
      </c>
      <c r="N66" s="1" t="s">
        <v>254</v>
      </c>
      <c r="O66" s="1"/>
    </row>
    <row r="67" spans="2:15" ht="15.75" customHeight="1" x14ac:dyDescent="0.3">
      <c r="B67" t="s">
        <v>181</v>
      </c>
      <c r="C67" t="s">
        <v>366</v>
      </c>
      <c r="D67">
        <v>1</v>
      </c>
      <c r="E67" t="s">
        <v>183</v>
      </c>
      <c r="F67">
        <v>2.0299999999999998</v>
      </c>
      <c r="G67">
        <v>0.18</v>
      </c>
      <c r="H67" s="1">
        <f>Tabela_Belki_N[[#This Row],[hg]]-Tabela_Belki_N[[#This Row],[hd]]</f>
        <v>0.5</v>
      </c>
      <c r="I67" s="1">
        <f t="shared" si="20"/>
        <v>0.36539999999999995</v>
      </c>
      <c r="J67" s="1">
        <v>8.89</v>
      </c>
      <c r="K67" s="1">
        <f t="shared" si="18"/>
        <v>9.39</v>
      </c>
      <c r="L67" s="1">
        <f>PRODUCT(Tabela_Belki_N[[#This Row],[h '[m']]],Tabela_Belki_N[[#This Row],[A '[m2']]])</f>
        <v>0.18269999999999997</v>
      </c>
      <c r="M67" s="1">
        <f>PRODUCT(Tabela_Belki_N[[#This Row],[Szt.]],Tabela_Belki_N[[#This Row],[Vj '[m3']]])</f>
        <v>0.18269999999999997</v>
      </c>
      <c r="N67" s="1" t="s">
        <v>254</v>
      </c>
      <c r="O67" s="1"/>
    </row>
    <row r="68" spans="2:15" ht="15.75" customHeight="1" x14ac:dyDescent="0.3">
      <c r="B68" t="s">
        <v>181</v>
      </c>
      <c r="C68" t="s">
        <v>366</v>
      </c>
      <c r="D68">
        <v>2</v>
      </c>
      <c r="E68" t="s">
        <v>183</v>
      </c>
      <c r="F68">
        <v>2.36</v>
      </c>
      <c r="G68">
        <v>0.18</v>
      </c>
      <c r="H68" s="1">
        <f>Tabela_Belki_N[[#This Row],[hg]]-Tabela_Belki_N[[#This Row],[hd]]</f>
        <v>0.5</v>
      </c>
      <c r="I68" s="1">
        <f t="shared" si="20"/>
        <v>0.42479999999999996</v>
      </c>
      <c r="J68" s="1">
        <v>8.89</v>
      </c>
      <c r="K68" s="1">
        <f t="shared" si="18"/>
        <v>9.39</v>
      </c>
      <c r="L68" s="1">
        <f>PRODUCT(Tabela_Belki_N[[#This Row],[h '[m']]],Tabela_Belki_N[[#This Row],[A '[m2']]])</f>
        <v>0.21239999999999998</v>
      </c>
      <c r="M68" s="1">
        <f>PRODUCT(Tabela_Belki_N[[#This Row],[Szt.]],Tabela_Belki_N[[#This Row],[Vj '[m3']]])</f>
        <v>0.42479999999999996</v>
      </c>
      <c r="N68" s="1" t="s">
        <v>254</v>
      </c>
      <c r="O68" s="1"/>
    </row>
    <row r="69" spans="2:15" ht="15.75" customHeight="1" x14ac:dyDescent="0.3">
      <c r="B69" t="s">
        <v>181</v>
      </c>
      <c r="C69" t="s">
        <v>366</v>
      </c>
      <c r="D69">
        <v>1</v>
      </c>
      <c r="E69" t="s">
        <v>183</v>
      </c>
      <c r="F69">
        <v>2.67</v>
      </c>
      <c r="G69">
        <v>0.18</v>
      </c>
      <c r="H69" s="1">
        <f>Tabela_Belki_N[[#This Row],[hg]]-Tabela_Belki_N[[#This Row],[hd]]</f>
        <v>0.5</v>
      </c>
      <c r="I69" s="1">
        <f t="shared" ref="I69:I70" si="21">PRODUCT(F69:G69)</f>
        <v>0.48059999999999997</v>
      </c>
      <c r="J69" s="1">
        <v>8.89</v>
      </c>
      <c r="K69" s="1">
        <f t="shared" si="18"/>
        <v>9.39</v>
      </c>
      <c r="L69" s="1">
        <f>PRODUCT(Tabela_Belki_N[[#This Row],[h '[m']]],Tabela_Belki_N[[#This Row],[A '[m2']]])</f>
        <v>0.24029999999999999</v>
      </c>
      <c r="M69" s="1">
        <f>PRODUCT(Tabela_Belki_N[[#This Row],[Szt.]],Tabela_Belki_N[[#This Row],[Vj '[m3']]])</f>
        <v>0.24029999999999999</v>
      </c>
      <c r="N69" s="1" t="s">
        <v>254</v>
      </c>
      <c r="O69" s="1"/>
    </row>
    <row r="70" spans="2:15" ht="15.75" customHeight="1" x14ac:dyDescent="0.3">
      <c r="B70" t="s">
        <v>181</v>
      </c>
      <c r="C70" t="s">
        <v>366</v>
      </c>
      <c r="D70">
        <v>2</v>
      </c>
      <c r="E70" t="s">
        <v>183</v>
      </c>
      <c r="F70">
        <v>2.73</v>
      </c>
      <c r="G70">
        <v>0.18</v>
      </c>
      <c r="H70" s="1">
        <f>Tabela_Belki_N[[#This Row],[hg]]-Tabela_Belki_N[[#This Row],[hd]]</f>
        <v>0.5</v>
      </c>
      <c r="I70" s="1">
        <f t="shared" si="21"/>
        <v>0.4914</v>
      </c>
      <c r="J70" s="1">
        <v>8.89</v>
      </c>
      <c r="K70" s="1">
        <f t="shared" si="18"/>
        <v>9.39</v>
      </c>
      <c r="L70" s="1">
        <f>PRODUCT(Tabela_Belki_N[[#This Row],[h '[m']]],Tabela_Belki_N[[#This Row],[A '[m2']]])</f>
        <v>0.2457</v>
      </c>
      <c r="M70" s="1">
        <f>PRODUCT(Tabela_Belki_N[[#This Row],[Szt.]],Tabela_Belki_N[[#This Row],[Vj '[m3']]])</f>
        <v>0.4914</v>
      </c>
      <c r="N70" s="1" t="s">
        <v>254</v>
      </c>
      <c r="O70" s="1"/>
    </row>
    <row r="71" spans="2:15" ht="15.75" customHeight="1" x14ac:dyDescent="0.3">
      <c r="B71" t="s">
        <v>181</v>
      </c>
      <c r="C71" t="s">
        <v>367</v>
      </c>
      <c r="E71" t="s">
        <v>183</v>
      </c>
      <c r="F71">
        <v>75.540000000000006</v>
      </c>
      <c r="G71">
        <v>0.18</v>
      </c>
      <c r="H71" s="1">
        <f>Tabela_Belki_N[[#This Row],[hg]]-Tabela_Belki_N[[#This Row],[hd]]</f>
        <v>0.5</v>
      </c>
      <c r="I71" s="1">
        <f t="shared" ref="I71:I125" si="22">PRODUCT(F71:G71)</f>
        <v>13.597200000000001</v>
      </c>
      <c r="J71" s="1">
        <v>11.99</v>
      </c>
      <c r="K71" s="1">
        <f>12.67-0.18</f>
        <v>12.49</v>
      </c>
      <c r="L71" s="1">
        <f>PRODUCT(Tabela_Belki_N[[#This Row],[h '[m']]],Tabela_Belki_N[[#This Row],[A '[m2']]])</f>
        <v>6.7986000000000004</v>
      </c>
      <c r="M71" s="1">
        <f>PRODUCT(Tabela_Belki_N[[#This Row],[Szt.]],Tabela_Belki_N[[#This Row],[Vj '[m3']]])</f>
        <v>6.7986000000000004</v>
      </c>
      <c r="N71" s="1"/>
      <c r="O71" s="1"/>
    </row>
    <row r="72" spans="2:15" ht="15.75" customHeight="1" x14ac:dyDescent="0.3">
      <c r="B72" t="s">
        <v>181</v>
      </c>
      <c r="C72" t="s">
        <v>367</v>
      </c>
      <c r="D72">
        <v>2</v>
      </c>
      <c r="E72" t="s">
        <v>183</v>
      </c>
      <c r="F72">
        <v>0.63</v>
      </c>
      <c r="G72">
        <v>0.18</v>
      </c>
      <c r="H72" s="1">
        <f>Tabela_Belki_N[[#This Row],[hg]]-Tabela_Belki_N[[#This Row],[hd]]</f>
        <v>0.5</v>
      </c>
      <c r="I72" s="1">
        <f t="shared" ref="I72:I76" si="23">PRODUCT(F72:G72)</f>
        <v>0.1134</v>
      </c>
      <c r="J72" s="1">
        <v>11.99</v>
      </c>
      <c r="K72" s="1">
        <f t="shared" ref="K72:K82" si="24">12.67-0.18</f>
        <v>12.49</v>
      </c>
      <c r="L72" s="1">
        <f>PRODUCT(Tabela_Belki_N[[#This Row],[h '[m']]],Tabela_Belki_N[[#This Row],[A '[m2']]])</f>
        <v>5.67E-2</v>
      </c>
      <c r="M72" s="1">
        <f>PRODUCT(Tabela_Belki_N[[#This Row],[Szt.]],Tabela_Belki_N[[#This Row],[Vj '[m3']]])</f>
        <v>0.1134</v>
      </c>
      <c r="N72" s="1" t="s">
        <v>254</v>
      </c>
      <c r="O72" s="1"/>
    </row>
    <row r="73" spans="2:15" ht="15.75" customHeight="1" x14ac:dyDescent="0.3">
      <c r="B73" t="s">
        <v>181</v>
      </c>
      <c r="C73" t="s">
        <v>367</v>
      </c>
      <c r="D73">
        <v>10</v>
      </c>
      <c r="E73" t="s">
        <v>183</v>
      </c>
      <c r="F73">
        <v>0.93</v>
      </c>
      <c r="G73">
        <v>0.18</v>
      </c>
      <c r="H73" s="1">
        <f>Tabela_Belki_N[[#This Row],[hg]]-Tabela_Belki_N[[#This Row],[hd]]</f>
        <v>0.5</v>
      </c>
      <c r="I73" s="1">
        <f t="shared" si="23"/>
        <v>0.16739999999999999</v>
      </c>
      <c r="J73" s="1">
        <v>11.99</v>
      </c>
      <c r="K73" s="1">
        <f t="shared" si="24"/>
        <v>12.49</v>
      </c>
      <c r="L73" s="1">
        <f>PRODUCT(Tabela_Belki_N[[#This Row],[h '[m']]],Tabela_Belki_N[[#This Row],[A '[m2']]])</f>
        <v>8.3699999999999997E-2</v>
      </c>
      <c r="M73" s="1">
        <f>PRODUCT(Tabela_Belki_N[[#This Row],[Szt.]],Tabela_Belki_N[[#This Row],[Vj '[m3']]])</f>
        <v>0.83699999999999997</v>
      </c>
      <c r="N73" s="1" t="s">
        <v>254</v>
      </c>
      <c r="O73" s="1"/>
    </row>
    <row r="74" spans="2:15" ht="15.75" customHeight="1" x14ac:dyDescent="0.3">
      <c r="B74" t="s">
        <v>181</v>
      </c>
      <c r="C74" t="s">
        <v>367</v>
      </c>
      <c r="D74">
        <v>1</v>
      </c>
      <c r="E74" t="s">
        <v>183</v>
      </c>
      <c r="F74">
        <v>1.42</v>
      </c>
      <c r="G74">
        <v>0.18</v>
      </c>
      <c r="H74" s="1">
        <f>Tabela_Belki_N[[#This Row],[hg]]-Tabela_Belki_N[[#This Row],[hd]]</f>
        <v>0.5</v>
      </c>
      <c r="I74" s="1">
        <f t="shared" si="23"/>
        <v>0.25559999999999999</v>
      </c>
      <c r="J74" s="1">
        <v>11.99</v>
      </c>
      <c r="K74" s="1">
        <f t="shared" si="24"/>
        <v>12.49</v>
      </c>
      <c r="L74" s="1">
        <f>PRODUCT(Tabela_Belki_N[[#This Row],[h '[m']]],Tabela_Belki_N[[#This Row],[A '[m2']]])</f>
        <v>0.1278</v>
      </c>
      <c r="M74" s="1">
        <f>PRODUCT(Tabela_Belki_N[[#This Row],[Szt.]],Tabela_Belki_N[[#This Row],[Vj '[m3']]])</f>
        <v>0.1278</v>
      </c>
      <c r="N74" s="1" t="s">
        <v>254</v>
      </c>
      <c r="O74" s="1"/>
    </row>
    <row r="75" spans="2:15" ht="15.75" customHeight="1" x14ac:dyDescent="0.3">
      <c r="B75" t="s">
        <v>181</v>
      </c>
      <c r="C75" t="s">
        <v>367</v>
      </c>
      <c r="D75">
        <v>13</v>
      </c>
      <c r="E75" t="s">
        <v>183</v>
      </c>
      <c r="F75">
        <v>1.43</v>
      </c>
      <c r="G75">
        <v>0.18</v>
      </c>
      <c r="H75" s="1">
        <f>Tabela_Belki_N[[#This Row],[hg]]-Tabela_Belki_N[[#This Row],[hd]]</f>
        <v>0.5</v>
      </c>
      <c r="I75" s="1">
        <f t="shared" si="23"/>
        <v>0.25739999999999996</v>
      </c>
      <c r="J75" s="1">
        <v>11.99</v>
      </c>
      <c r="K75" s="1">
        <f t="shared" si="24"/>
        <v>12.49</v>
      </c>
      <c r="L75" s="1">
        <f>PRODUCT(Tabela_Belki_N[[#This Row],[h '[m']]],Tabela_Belki_N[[#This Row],[A '[m2']]])</f>
        <v>0.12869999999999998</v>
      </c>
      <c r="M75" s="1">
        <f>PRODUCT(Tabela_Belki_N[[#This Row],[Szt.]],Tabela_Belki_N[[#This Row],[Vj '[m3']]])</f>
        <v>1.6730999999999998</v>
      </c>
      <c r="N75" s="1" t="s">
        <v>254</v>
      </c>
      <c r="O75" s="1"/>
    </row>
    <row r="76" spans="2:15" ht="15.75" customHeight="1" x14ac:dyDescent="0.3">
      <c r="B76" t="s">
        <v>181</v>
      </c>
      <c r="C76" t="s">
        <v>367</v>
      </c>
      <c r="D76">
        <v>2</v>
      </c>
      <c r="E76" t="s">
        <v>183</v>
      </c>
      <c r="F76">
        <v>1.63</v>
      </c>
      <c r="G76">
        <v>0.18</v>
      </c>
      <c r="H76" s="1">
        <f>Tabela_Belki_N[[#This Row],[hg]]-Tabela_Belki_N[[#This Row],[hd]]</f>
        <v>0.5</v>
      </c>
      <c r="I76" s="1">
        <f t="shared" si="23"/>
        <v>0.29339999999999999</v>
      </c>
      <c r="J76" s="1">
        <v>11.99</v>
      </c>
      <c r="K76" s="1">
        <f t="shared" si="24"/>
        <v>12.49</v>
      </c>
      <c r="L76" s="1">
        <f>PRODUCT(Tabela_Belki_N[[#This Row],[h '[m']]],Tabela_Belki_N[[#This Row],[A '[m2']]])</f>
        <v>0.1467</v>
      </c>
      <c r="M76" s="1">
        <f>PRODUCT(Tabela_Belki_N[[#This Row],[Szt.]],Tabela_Belki_N[[#This Row],[Vj '[m3']]])</f>
        <v>0.29339999999999999</v>
      </c>
      <c r="N76" s="1" t="s">
        <v>254</v>
      </c>
      <c r="O76" s="1"/>
    </row>
    <row r="77" spans="2:15" ht="15.75" customHeight="1" x14ac:dyDescent="0.3">
      <c r="B77" t="s">
        <v>181</v>
      </c>
      <c r="C77" t="s">
        <v>367</v>
      </c>
      <c r="D77">
        <v>1</v>
      </c>
      <c r="E77" t="s">
        <v>183</v>
      </c>
      <c r="F77">
        <v>1.82</v>
      </c>
      <c r="G77">
        <v>0.18</v>
      </c>
      <c r="H77" s="1">
        <f>Tabela_Belki_N[[#This Row],[hg]]-Tabela_Belki_N[[#This Row],[hd]]</f>
        <v>0.5</v>
      </c>
      <c r="I77" s="1">
        <f>PRODUCT(F77:G77)</f>
        <v>0.3276</v>
      </c>
      <c r="J77" s="1">
        <v>11.99</v>
      </c>
      <c r="K77" s="1">
        <f t="shared" si="24"/>
        <v>12.49</v>
      </c>
      <c r="L77" s="1">
        <f>PRODUCT(Tabela_Belki_N[[#This Row],[h '[m']]],Tabela_Belki_N[[#This Row],[A '[m2']]])</f>
        <v>0.1638</v>
      </c>
      <c r="M77" s="1">
        <f>PRODUCT(Tabela_Belki_N[[#This Row],[Szt.]],Tabela_Belki_N[[#This Row],[Vj '[m3']]])</f>
        <v>0.1638</v>
      </c>
      <c r="N77" s="1" t="s">
        <v>254</v>
      </c>
      <c r="O77" s="1"/>
    </row>
    <row r="78" spans="2:15" ht="15.75" customHeight="1" x14ac:dyDescent="0.3">
      <c r="B78" t="s">
        <v>181</v>
      </c>
      <c r="C78" t="s">
        <v>367</v>
      </c>
      <c r="D78">
        <v>6</v>
      </c>
      <c r="E78" t="s">
        <v>183</v>
      </c>
      <c r="F78">
        <v>1.83</v>
      </c>
      <c r="G78">
        <v>0.18</v>
      </c>
      <c r="H78" s="1">
        <f>Tabela_Belki_N[[#This Row],[hg]]-Tabela_Belki_N[[#This Row],[hd]]</f>
        <v>0.5</v>
      </c>
      <c r="I78" s="1">
        <f t="shared" ref="I78:I82" si="25">PRODUCT(F78:G78)</f>
        <v>0.32940000000000003</v>
      </c>
      <c r="J78" s="1">
        <v>11.99</v>
      </c>
      <c r="K78" s="1">
        <f t="shared" si="24"/>
        <v>12.49</v>
      </c>
      <c r="L78" s="1">
        <f>PRODUCT(Tabela_Belki_N[[#This Row],[h '[m']]],Tabela_Belki_N[[#This Row],[A '[m2']]])</f>
        <v>0.16470000000000001</v>
      </c>
      <c r="M78" s="1">
        <f>PRODUCT(Tabela_Belki_N[[#This Row],[Szt.]],Tabela_Belki_N[[#This Row],[Vj '[m3']]])</f>
        <v>0.98820000000000008</v>
      </c>
      <c r="N78" s="1" t="s">
        <v>254</v>
      </c>
      <c r="O78" s="1"/>
    </row>
    <row r="79" spans="2:15" ht="15.75" customHeight="1" x14ac:dyDescent="0.3">
      <c r="B79" t="s">
        <v>181</v>
      </c>
      <c r="C79" t="s">
        <v>367</v>
      </c>
      <c r="D79">
        <v>1</v>
      </c>
      <c r="E79" t="s">
        <v>183</v>
      </c>
      <c r="F79">
        <v>2.0299999999999998</v>
      </c>
      <c r="G79">
        <v>0.18</v>
      </c>
      <c r="H79" s="1">
        <f>Tabela_Belki_N[[#This Row],[hg]]-Tabela_Belki_N[[#This Row],[hd]]</f>
        <v>0.5</v>
      </c>
      <c r="I79" s="1">
        <f t="shared" si="25"/>
        <v>0.36539999999999995</v>
      </c>
      <c r="J79" s="1">
        <v>11.99</v>
      </c>
      <c r="K79" s="1">
        <f t="shared" si="24"/>
        <v>12.49</v>
      </c>
      <c r="L79" s="1">
        <f>PRODUCT(Tabela_Belki_N[[#This Row],[h '[m']]],Tabela_Belki_N[[#This Row],[A '[m2']]])</f>
        <v>0.18269999999999997</v>
      </c>
      <c r="M79" s="1">
        <f>PRODUCT(Tabela_Belki_N[[#This Row],[Szt.]],Tabela_Belki_N[[#This Row],[Vj '[m3']]])</f>
        <v>0.18269999999999997</v>
      </c>
      <c r="N79" s="1" t="s">
        <v>254</v>
      </c>
      <c r="O79" s="1"/>
    </row>
    <row r="80" spans="2:15" ht="15.75" customHeight="1" x14ac:dyDescent="0.3">
      <c r="B80" t="s">
        <v>181</v>
      </c>
      <c r="C80" t="s">
        <v>367</v>
      </c>
      <c r="D80">
        <v>2</v>
      </c>
      <c r="E80" t="s">
        <v>183</v>
      </c>
      <c r="F80">
        <v>2.36</v>
      </c>
      <c r="G80">
        <v>0.18</v>
      </c>
      <c r="H80" s="1">
        <f>Tabela_Belki_N[[#This Row],[hg]]-Tabela_Belki_N[[#This Row],[hd]]</f>
        <v>0.5</v>
      </c>
      <c r="I80" s="1">
        <f t="shared" si="25"/>
        <v>0.42479999999999996</v>
      </c>
      <c r="J80" s="1">
        <v>11.99</v>
      </c>
      <c r="K80" s="1">
        <f t="shared" si="24"/>
        <v>12.49</v>
      </c>
      <c r="L80" s="1">
        <f>PRODUCT(Tabela_Belki_N[[#This Row],[h '[m']]],Tabela_Belki_N[[#This Row],[A '[m2']]])</f>
        <v>0.21239999999999998</v>
      </c>
      <c r="M80" s="1">
        <f>PRODUCT(Tabela_Belki_N[[#This Row],[Szt.]],Tabela_Belki_N[[#This Row],[Vj '[m3']]])</f>
        <v>0.42479999999999996</v>
      </c>
      <c r="N80" s="1" t="s">
        <v>254</v>
      </c>
      <c r="O80" s="1"/>
    </row>
    <row r="81" spans="2:15" ht="15.75" customHeight="1" x14ac:dyDescent="0.3">
      <c r="B81" t="s">
        <v>181</v>
      </c>
      <c r="C81" t="s">
        <v>367</v>
      </c>
      <c r="D81">
        <v>1</v>
      </c>
      <c r="E81" t="s">
        <v>183</v>
      </c>
      <c r="F81">
        <v>2.67</v>
      </c>
      <c r="G81">
        <v>0.18</v>
      </c>
      <c r="H81" s="1">
        <f>Tabela_Belki_N[[#This Row],[hg]]-Tabela_Belki_N[[#This Row],[hd]]</f>
        <v>0.5</v>
      </c>
      <c r="I81" s="1">
        <f t="shared" si="25"/>
        <v>0.48059999999999997</v>
      </c>
      <c r="J81" s="1">
        <v>11.99</v>
      </c>
      <c r="K81" s="1">
        <f t="shared" si="24"/>
        <v>12.49</v>
      </c>
      <c r="L81" s="1">
        <f>PRODUCT(Tabela_Belki_N[[#This Row],[h '[m']]],Tabela_Belki_N[[#This Row],[A '[m2']]])</f>
        <v>0.24029999999999999</v>
      </c>
      <c r="M81" s="1">
        <f>PRODUCT(Tabela_Belki_N[[#This Row],[Szt.]],Tabela_Belki_N[[#This Row],[Vj '[m3']]])</f>
        <v>0.24029999999999999</v>
      </c>
      <c r="N81" s="1" t="s">
        <v>254</v>
      </c>
      <c r="O81" s="1"/>
    </row>
    <row r="82" spans="2:15" ht="15.75" customHeight="1" x14ac:dyDescent="0.3">
      <c r="B82" t="s">
        <v>181</v>
      </c>
      <c r="C82" t="s">
        <v>367</v>
      </c>
      <c r="D82">
        <v>2</v>
      </c>
      <c r="E82" t="s">
        <v>183</v>
      </c>
      <c r="F82">
        <v>2.73</v>
      </c>
      <c r="G82">
        <v>0.18</v>
      </c>
      <c r="H82" s="1">
        <f>Tabela_Belki_N[[#This Row],[hg]]-Tabela_Belki_N[[#This Row],[hd]]</f>
        <v>0.5</v>
      </c>
      <c r="I82" s="1">
        <f t="shared" si="25"/>
        <v>0.4914</v>
      </c>
      <c r="J82" s="1">
        <v>11.99</v>
      </c>
      <c r="K82" s="1">
        <f t="shared" si="24"/>
        <v>12.49</v>
      </c>
      <c r="L82" s="1">
        <f>PRODUCT(Tabela_Belki_N[[#This Row],[h '[m']]],Tabela_Belki_N[[#This Row],[A '[m2']]])</f>
        <v>0.2457</v>
      </c>
      <c r="M82" s="1">
        <f>PRODUCT(Tabela_Belki_N[[#This Row],[Szt.]],Tabela_Belki_N[[#This Row],[Vj '[m3']]])</f>
        <v>0.4914</v>
      </c>
      <c r="N82" s="1" t="s">
        <v>254</v>
      </c>
      <c r="O82" s="1"/>
    </row>
    <row r="83" spans="2:15" ht="15.75" customHeight="1" x14ac:dyDescent="0.3">
      <c r="B83" t="s">
        <v>181</v>
      </c>
      <c r="C83" t="s">
        <v>368</v>
      </c>
      <c r="E83" t="s">
        <v>183</v>
      </c>
      <c r="F83">
        <v>75.540000000000006</v>
      </c>
      <c r="G83">
        <v>0.18</v>
      </c>
      <c r="H83" s="1">
        <f>Tabela_Belki_N[[#This Row],[hg]]-Tabela_Belki_N[[#This Row],[hd]]</f>
        <v>0.5</v>
      </c>
      <c r="I83" s="1">
        <f t="shared" si="22"/>
        <v>13.597200000000001</v>
      </c>
      <c r="J83" s="1">
        <v>15.09</v>
      </c>
      <c r="K83" s="1">
        <f>15.77-0.18</f>
        <v>15.59</v>
      </c>
      <c r="L83" s="1">
        <f>PRODUCT(Tabela_Belki_N[[#This Row],[h '[m']]],Tabela_Belki_N[[#This Row],[A '[m2']]])</f>
        <v>6.7986000000000004</v>
      </c>
      <c r="M83" s="1">
        <f>PRODUCT(Tabela_Belki_N[[#This Row],[Szt.]],Tabela_Belki_N[[#This Row],[Vj '[m3']]])</f>
        <v>6.7986000000000004</v>
      </c>
      <c r="N83" s="1"/>
      <c r="O83" s="1"/>
    </row>
    <row r="84" spans="2:15" ht="15.75" customHeight="1" x14ac:dyDescent="0.3">
      <c r="B84" t="s">
        <v>181</v>
      </c>
      <c r="C84" t="s">
        <v>368</v>
      </c>
      <c r="D84">
        <v>2</v>
      </c>
      <c r="E84" t="s">
        <v>183</v>
      </c>
      <c r="F84">
        <v>0.63</v>
      </c>
      <c r="G84">
        <v>0.18</v>
      </c>
      <c r="H84" s="1">
        <f>Tabela_Belki_N[[#This Row],[hg]]-Tabela_Belki_N[[#This Row],[hd]]</f>
        <v>0.5</v>
      </c>
      <c r="I84" s="1">
        <f t="shared" si="22"/>
        <v>0.1134</v>
      </c>
      <c r="J84" s="1">
        <v>15.09</v>
      </c>
      <c r="K84" s="1">
        <f t="shared" ref="K84:K94" si="26">15.77-0.18</f>
        <v>15.59</v>
      </c>
      <c r="L84" s="1">
        <f>PRODUCT(Tabela_Belki_N[[#This Row],[h '[m']]],Tabela_Belki_N[[#This Row],[A '[m2']]])</f>
        <v>5.67E-2</v>
      </c>
      <c r="M84" s="1">
        <f>PRODUCT(Tabela_Belki_N[[#This Row],[Szt.]],Tabela_Belki_N[[#This Row],[Vj '[m3']]])</f>
        <v>0.1134</v>
      </c>
      <c r="N84" s="1" t="s">
        <v>254</v>
      </c>
      <c r="O84" s="1"/>
    </row>
    <row r="85" spans="2:15" ht="15.75" customHeight="1" x14ac:dyDescent="0.3">
      <c r="B85" t="s">
        <v>181</v>
      </c>
      <c r="C85" t="s">
        <v>368</v>
      </c>
      <c r="D85">
        <v>10</v>
      </c>
      <c r="E85" t="s">
        <v>183</v>
      </c>
      <c r="F85">
        <v>0.93</v>
      </c>
      <c r="G85">
        <v>0.18</v>
      </c>
      <c r="H85" s="1">
        <f>Tabela_Belki_N[[#This Row],[hg]]-Tabela_Belki_N[[#This Row],[hd]]</f>
        <v>0.5</v>
      </c>
      <c r="I85" s="1">
        <f t="shared" si="22"/>
        <v>0.16739999999999999</v>
      </c>
      <c r="J85" s="1">
        <v>15.09</v>
      </c>
      <c r="K85" s="1">
        <f t="shared" si="26"/>
        <v>15.59</v>
      </c>
      <c r="L85" s="1">
        <f>PRODUCT(Tabela_Belki_N[[#This Row],[h '[m']]],Tabela_Belki_N[[#This Row],[A '[m2']]])</f>
        <v>8.3699999999999997E-2</v>
      </c>
      <c r="M85" s="1">
        <f>PRODUCT(Tabela_Belki_N[[#This Row],[Szt.]],Tabela_Belki_N[[#This Row],[Vj '[m3']]])</f>
        <v>0.83699999999999997</v>
      </c>
      <c r="N85" s="1" t="s">
        <v>254</v>
      </c>
      <c r="O85" s="1"/>
    </row>
    <row r="86" spans="2:15" ht="15.75" customHeight="1" x14ac:dyDescent="0.3">
      <c r="B86" t="s">
        <v>181</v>
      </c>
      <c r="C86" t="s">
        <v>368</v>
      </c>
      <c r="D86">
        <v>1</v>
      </c>
      <c r="E86" t="s">
        <v>183</v>
      </c>
      <c r="F86">
        <v>1.42</v>
      </c>
      <c r="G86">
        <v>0.18</v>
      </c>
      <c r="H86" s="1">
        <f>Tabela_Belki_N[[#This Row],[hg]]-Tabela_Belki_N[[#This Row],[hd]]</f>
        <v>0.5</v>
      </c>
      <c r="I86" s="1">
        <f t="shared" si="22"/>
        <v>0.25559999999999999</v>
      </c>
      <c r="J86" s="1">
        <v>15.09</v>
      </c>
      <c r="K86" s="1">
        <f t="shared" si="26"/>
        <v>15.59</v>
      </c>
      <c r="L86" s="1">
        <f>PRODUCT(Tabela_Belki_N[[#This Row],[h '[m']]],Tabela_Belki_N[[#This Row],[A '[m2']]])</f>
        <v>0.1278</v>
      </c>
      <c r="M86" s="1">
        <f>PRODUCT(Tabela_Belki_N[[#This Row],[Szt.]],Tabela_Belki_N[[#This Row],[Vj '[m3']]])</f>
        <v>0.1278</v>
      </c>
      <c r="N86" s="1" t="s">
        <v>254</v>
      </c>
      <c r="O86" s="1"/>
    </row>
    <row r="87" spans="2:15" ht="15.75" customHeight="1" x14ac:dyDescent="0.3">
      <c r="B87" t="s">
        <v>181</v>
      </c>
      <c r="C87" t="s">
        <v>368</v>
      </c>
      <c r="D87">
        <v>13</v>
      </c>
      <c r="E87" t="s">
        <v>183</v>
      </c>
      <c r="F87">
        <v>1.43</v>
      </c>
      <c r="G87">
        <v>0.18</v>
      </c>
      <c r="H87" s="1">
        <f>Tabela_Belki_N[[#This Row],[hg]]-Tabela_Belki_N[[#This Row],[hd]]</f>
        <v>0.5</v>
      </c>
      <c r="I87" s="1">
        <f t="shared" si="22"/>
        <v>0.25739999999999996</v>
      </c>
      <c r="J87" s="1">
        <v>15.09</v>
      </c>
      <c r="K87" s="1">
        <f t="shared" si="26"/>
        <v>15.59</v>
      </c>
      <c r="L87" s="1">
        <f>PRODUCT(Tabela_Belki_N[[#This Row],[h '[m']]],Tabela_Belki_N[[#This Row],[A '[m2']]])</f>
        <v>0.12869999999999998</v>
      </c>
      <c r="M87" s="1">
        <f>PRODUCT(Tabela_Belki_N[[#This Row],[Szt.]],Tabela_Belki_N[[#This Row],[Vj '[m3']]])</f>
        <v>1.6730999999999998</v>
      </c>
      <c r="N87" s="1" t="s">
        <v>254</v>
      </c>
      <c r="O87" s="1"/>
    </row>
    <row r="88" spans="2:15" ht="15.75" customHeight="1" x14ac:dyDescent="0.3">
      <c r="B88" t="s">
        <v>181</v>
      </c>
      <c r="C88" t="s">
        <v>368</v>
      </c>
      <c r="D88">
        <v>2</v>
      </c>
      <c r="E88" t="s">
        <v>183</v>
      </c>
      <c r="F88">
        <v>1.63</v>
      </c>
      <c r="G88">
        <v>0.18</v>
      </c>
      <c r="H88" s="1">
        <f>Tabela_Belki_N[[#This Row],[hg]]-Tabela_Belki_N[[#This Row],[hd]]</f>
        <v>0.5</v>
      </c>
      <c r="I88" s="1">
        <f t="shared" si="22"/>
        <v>0.29339999999999999</v>
      </c>
      <c r="J88" s="1">
        <v>15.09</v>
      </c>
      <c r="K88" s="1">
        <f t="shared" si="26"/>
        <v>15.59</v>
      </c>
      <c r="L88" s="1">
        <f>PRODUCT(Tabela_Belki_N[[#This Row],[h '[m']]],Tabela_Belki_N[[#This Row],[A '[m2']]])</f>
        <v>0.1467</v>
      </c>
      <c r="M88" s="1">
        <f>PRODUCT(Tabela_Belki_N[[#This Row],[Szt.]],Tabela_Belki_N[[#This Row],[Vj '[m3']]])</f>
        <v>0.29339999999999999</v>
      </c>
      <c r="N88" s="1" t="s">
        <v>254</v>
      </c>
      <c r="O88" s="1"/>
    </row>
    <row r="89" spans="2:15" ht="15.75" customHeight="1" x14ac:dyDescent="0.3">
      <c r="B89" t="s">
        <v>181</v>
      </c>
      <c r="C89" t="s">
        <v>368</v>
      </c>
      <c r="D89">
        <v>1</v>
      </c>
      <c r="E89" t="s">
        <v>183</v>
      </c>
      <c r="F89">
        <v>1.82</v>
      </c>
      <c r="G89">
        <v>0.18</v>
      </c>
      <c r="H89" s="1">
        <f>Tabela_Belki_N[[#This Row],[hg]]-Tabela_Belki_N[[#This Row],[hd]]</f>
        <v>0.5</v>
      </c>
      <c r="I89" s="1">
        <f>PRODUCT(F89:G89)</f>
        <v>0.3276</v>
      </c>
      <c r="J89" s="1">
        <v>15.09</v>
      </c>
      <c r="K89" s="1">
        <f t="shared" si="26"/>
        <v>15.59</v>
      </c>
      <c r="L89" s="1">
        <f>PRODUCT(Tabela_Belki_N[[#This Row],[h '[m']]],Tabela_Belki_N[[#This Row],[A '[m2']]])</f>
        <v>0.1638</v>
      </c>
      <c r="M89" s="1">
        <f>PRODUCT(Tabela_Belki_N[[#This Row],[Szt.]],Tabela_Belki_N[[#This Row],[Vj '[m3']]])</f>
        <v>0.1638</v>
      </c>
      <c r="N89" s="1" t="s">
        <v>254</v>
      </c>
      <c r="O89" s="1"/>
    </row>
    <row r="90" spans="2:15" ht="15.75" customHeight="1" x14ac:dyDescent="0.3">
      <c r="B90" t="s">
        <v>181</v>
      </c>
      <c r="C90" t="s">
        <v>368</v>
      </c>
      <c r="D90">
        <v>6</v>
      </c>
      <c r="E90" t="s">
        <v>183</v>
      </c>
      <c r="F90">
        <v>1.83</v>
      </c>
      <c r="G90">
        <v>0.18</v>
      </c>
      <c r="H90" s="1">
        <f>Tabela_Belki_N[[#This Row],[hg]]-Tabela_Belki_N[[#This Row],[hd]]</f>
        <v>0.5</v>
      </c>
      <c r="I90" s="1">
        <f t="shared" ref="I90:I94" si="27">PRODUCT(F90:G90)</f>
        <v>0.32940000000000003</v>
      </c>
      <c r="J90" s="1">
        <v>15.09</v>
      </c>
      <c r="K90" s="1">
        <f t="shared" si="26"/>
        <v>15.59</v>
      </c>
      <c r="L90" s="1">
        <f>PRODUCT(Tabela_Belki_N[[#This Row],[h '[m']]],Tabela_Belki_N[[#This Row],[A '[m2']]])</f>
        <v>0.16470000000000001</v>
      </c>
      <c r="M90" s="1">
        <f>PRODUCT(Tabela_Belki_N[[#This Row],[Szt.]],Tabela_Belki_N[[#This Row],[Vj '[m3']]])</f>
        <v>0.98820000000000008</v>
      </c>
      <c r="N90" s="1" t="s">
        <v>254</v>
      </c>
      <c r="O90" s="1"/>
    </row>
    <row r="91" spans="2:15" ht="15.75" customHeight="1" x14ac:dyDescent="0.3">
      <c r="B91" t="s">
        <v>181</v>
      </c>
      <c r="C91" t="s">
        <v>368</v>
      </c>
      <c r="D91">
        <v>1</v>
      </c>
      <c r="E91" t="s">
        <v>183</v>
      </c>
      <c r="F91">
        <v>2.0299999999999998</v>
      </c>
      <c r="G91">
        <v>0.18</v>
      </c>
      <c r="H91" s="1">
        <f>Tabela_Belki_N[[#This Row],[hg]]-Tabela_Belki_N[[#This Row],[hd]]</f>
        <v>0.5</v>
      </c>
      <c r="I91" s="1">
        <f t="shared" si="27"/>
        <v>0.36539999999999995</v>
      </c>
      <c r="J91" s="1">
        <v>15.09</v>
      </c>
      <c r="K91" s="1">
        <f t="shared" si="26"/>
        <v>15.59</v>
      </c>
      <c r="L91" s="1">
        <f>PRODUCT(Tabela_Belki_N[[#This Row],[h '[m']]],Tabela_Belki_N[[#This Row],[A '[m2']]])</f>
        <v>0.18269999999999997</v>
      </c>
      <c r="M91" s="1">
        <f>PRODUCT(Tabela_Belki_N[[#This Row],[Szt.]],Tabela_Belki_N[[#This Row],[Vj '[m3']]])</f>
        <v>0.18269999999999997</v>
      </c>
      <c r="N91" s="1" t="s">
        <v>254</v>
      </c>
      <c r="O91" s="1"/>
    </row>
    <row r="92" spans="2:15" ht="15.75" customHeight="1" x14ac:dyDescent="0.3">
      <c r="B92" t="s">
        <v>181</v>
      </c>
      <c r="C92" t="s">
        <v>368</v>
      </c>
      <c r="D92">
        <v>2</v>
      </c>
      <c r="E92" t="s">
        <v>183</v>
      </c>
      <c r="F92">
        <v>2.36</v>
      </c>
      <c r="G92">
        <v>0.18</v>
      </c>
      <c r="H92" s="1">
        <f>Tabela_Belki_N[[#This Row],[hg]]-Tabela_Belki_N[[#This Row],[hd]]</f>
        <v>0.5</v>
      </c>
      <c r="I92" s="1">
        <f t="shared" si="27"/>
        <v>0.42479999999999996</v>
      </c>
      <c r="J92" s="1">
        <v>15.09</v>
      </c>
      <c r="K92" s="1">
        <f t="shared" si="26"/>
        <v>15.59</v>
      </c>
      <c r="L92" s="1">
        <f>PRODUCT(Tabela_Belki_N[[#This Row],[h '[m']]],Tabela_Belki_N[[#This Row],[A '[m2']]])</f>
        <v>0.21239999999999998</v>
      </c>
      <c r="M92" s="1">
        <f>PRODUCT(Tabela_Belki_N[[#This Row],[Szt.]],Tabela_Belki_N[[#This Row],[Vj '[m3']]])</f>
        <v>0.42479999999999996</v>
      </c>
      <c r="N92" s="1" t="s">
        <v>254</v>
      </c>
      <c r="O92" s="1"/>
    </row>
    <row r="93" spans="2:15" ht="15.75" customHeight="1" x14ac:dyDescent="0.3">
      <c r="B93" t="s">
        <v>181</v>
      </c>
      <c r="C93" t="s">
        <v>368</v>
      </c>
      <c r="D93">
        <v>1</v>
      </c>
      <c r="E93" t="s">
        <v>183</v>
      </c>
      <c r="F93">
        <v>2.67</v>
      </c>
      <c r="G93">
        <v>0.18</v>
      </c>
      <c r="H93" s="1">
        <f>Tabela_Belki_N[[#This Row],[hg]]-Tabela_Belki_N[[#This Row],[hd]]</f>
        <v>0.5</v>
      </c>
      <c r="I93" s="1">
        <f t="shared" si="27"/>
        <v>0.48059999999999997</v>
      </c>
      <c r="J93" s="1">
        <v>15.09</v>
      </c>
      <c r="K93" s="1">
        <f t="shared" si="26"/>
        <v>15.59</v>
      </c>
      <c r="L93" s="1">
        <f>PRODUCT(Tabela_Belki_N[[#This Row],[h '[m']]],Tabela_Belki_N[[#This Row],[A '[m2']]])</f>
        <v>0.24029999999999999</v>
      </c>
      <c r="M93" s="1">
        <f>PRODUCT(Tabela_Belki_N[[#This Row],[Szt.]],Tabela_Belki_N[[#This Row],[Vj '[m3']]])</f>
        <v>0.24029999999999999</v>
      </c>
      <c r="N93" s="1" t="s">
        <v>254</v>
      </c>
      <c r="O93" s="1"/>
    </row>
    <row r="94" spans="2:15" ht="15.75" customHeight="1" x14ac:dyDescent="0.3">
      <c r="B94" t="s">
        <v>181</v>
      </c>
      <c r="C94" t="s">
        <v>368</v>
      </c>
      <c r="D94">
        <v>2</v>
      </c>
      <c r="E94" t="s">
        <v>183</v>
      </c>
      <c r="F94">
        <v>2.73</v>
      </c>
      <c r="G94">
        <v>0.18</v>
      </c>
      <c r="H94" s="1">
        <f>Tabela_Belki_N[[#This Row],[hg]]-Tabela_Belki_N[[#This Row],[hd]]</f>
        <v>0.5</v>
      </c>
      <c r="I94" s="1">
        <f t="shared" si="27"/>
        <v>0.4914</v>
      </c>
      <c r="J94" s="1">
        <v>15.09</v>
      </c>
      <c r="K94" s="1">
        <f t="shared" si="26"/>
        <v>15.59</v>
      </c>
      <c r="L94" s="1">
        <f>PRODUCT(Tabela_Belki_N[[#This Row],[h '[m']]],Tabela_Belki_N[[#This Row],[A '[m2']]])</f>
        <v>0.2457</v>
      </c>
      <c r="M94" s="1">
        <f>PRODUCT(Tabela_Belki_N[[#This Row],[Szt.]],Tabela_Belki_N[[#This Row],[Vj '[m3']]])</f>
        <v>0.4914</v>
      </c>
      <c r="N94" s="1" t="s">
        <v>254</v>
      </c>
      <c r="O94" s="1"/>
    </row>
    <row r="95" spans="2:15" ht="15.75" customHeight="1" x14ac:dyDescent="0.3">
      <c r="B95" t="s">
        <v>181</v>
      </c>
      <c r="C95" t="s">
        <v>365</v>
      </c>
      <c r="E95" t="s">
        <v>184</v>
      </c>
      <c r="F95">
        <v>162.93</v>
      </c>
      <c r="G95">
        <v>0.18</v>
      </c>
      <c r="H95" s="1">
        <f>Tabela_Belki_N[[#This Row],[hg]]-Tabela_Belki_N[[#This Row],[hd]]</f>
        <v>4.0000000000000036E-2</v>
      </c>
      <c r="I95" s="1">
        <f t="shared" ref="I95" si="28">PRODUCT(F95:G95)</f>
        <v>29.327400000000001</v>
      </c>
      <c r="J95" s="1">
        <v>6.25</v>
      </c>
      <c r="K95" s="1">
        <f t="shared" ref="K95:K100" si="29">6.47-0.18</f>
        <v>6.29</v>
      </c>
      <c r="L95" s="1">
        <f>PRODUCT(Tabela_Belki_N[[#This Row],[h '[m']]],Tabela_Belki_N[[#This Row],[A '[m2']]])</f>
        <v>1.173096000000001</v>
      </c>
      <c r="M95" s="1">
        <f>PRODUCT(Tabela_Belki_N[[#This Row],[Szt.]],Tabela_Belki_N[[#This Row],[Vj '[m3']]])</f>
        <v>1.173096000000001</v>
      </c>
      <c r="N95" s="1"/>
      <c r="O95" s="1"/>
    </row>
    <row r="96" spans="2:15" ht="15.75" customHeight="1" x14ac:dyDescent="0.3">
      <c r="B96" t="s">
        <v>181</v>
      </c>
      <c r="C96" t="s">
        <v>365</v>
      </c>
      <c r="D96">
        <v>10</v>
      </c>
      <c r="E96" t="s">
        <v>184</v>
      </c>
      <c r="F96">
        <v>1.02</v>
      </c>
      <c r="G96">
        <v>0.18</v>
      </c>
      <c r="H96" s="1">
        <f>Tabela_Belki_N[[#This Row],[hg]]-Tabela_Belki_N[[#This Row],[hd]]</f>
        <v>4.0000000000000036E-2</v>
      </c>
      <c r="I96" s="1">
        <f t="shared" ref="I96" si="30">PRODUCT(F96:G96)</f>
        <v>0.18359999999999999</v>
      </c>
      <c r="J96" s="1">
        <v>6.25</v>
      </c>
      <c r="K96" s="1">
        <f t="shared" si="29"/>
        <v>6.29</v>
      </c>
      <c r="L96" s="1">
        <f>PRODUCT(Tabela_Belki_N[[#This Row],[h '[m']]],Tabela_Belki_N[[#This Row],[A '[m2']]])</f>
        <v>7.3440000000000059E-3</v>
      </c>
      <c r="M96" s="1">
        <f>PRODUCT(Tabela_Belki_N[[#This Row],[Szt.]],Tabela_Belki_N[[#This Row],[Vj '[m3']]])</f>
        <v>7.3440000000000061E-2</v>
      </c>
      <c r="N96" s="1" t="s">
        <v>249</v>
      </c>
      <c r="O96" s="1"/>
    </row>
    <row r="97" spans="2:15" ht="15.75" customHeight="1" x14ac:dyDescent="0.3">
      <c r="B97" t="s">
        <v>181</v>
      </c>
      <c r="C97" t="s">
        <v>365</v>
      </c>
      <c r="D97">
        <v>1</v>
      </c>
      <c r="E97" t="s">
        <v>184</v>
      </c>
      <c r="F97">
        <v>0.9</v>
      </c>
      <c r="G97">
        <v>0.18</v>
      </c>
      <c r="H97" s="1">
        <f>Tabela_Belki_N[[#This Row],[hg]]-Tabela_Belki_N[[#This Row],[hd]]</f>
        <v>4.0000000000000036E-2</v>
      </c>
      <c r="I97" s="1">
        <f t="shared" ref="I97" si="31">PRODUCT(F97:G97)</f>
        <v>0.16200000000000001</v>
      </c>
      <c r="J97" s="1">
        <v>6.25</v>
      </c>
      <c r="K97" s="1">
        <f t="shared" si="29"/>
        <v>6.29</v>
      </c>
      <c r="L97" s="1">
        <f>PRODUCT(Tabela_Belki_N[[#This Row],[h '[m']]],Tabela_Belki_N[[#This Row],[A '[m2']]])</f>
        <v>6.4800000000000057E-3</v>
      </c>
      <c r="M97" s="1">
        <f>PRODUCT(Tabela_Belki_N[[#This Row],[Szt.]],Tabela_Belki_N[[#This Row],[Vj '[m3']]])</f>
        <v>6.4800000000000057E-3</v>
      </c>
      <c r="N97" s="1" t="s">
        <v>250</v>
      </c>
      <c r="O97" s="1"/>
    </row>
    <row r="98" spans="2:15" ht="15.75" customHeight="1" x14ac:dyDescent="0.3">
      <c r="B98" t="s">
        <v>181</v>
      </c>
      <c r="C98" t="s">
        <v>365</v>
      </c>
      <c r="D98">
        <v>1</v>
      </c>
      <c r="E98" t="s">
        <v>184</v>
      </c>
      <c r="F98">
        <v>1</v>
      </c>
      <c r="G98">
        <v>0.18</v>
      </c>
      <c r="H98" s="1">
        <f>Tabela_Belki_N[[#This Row],[hg]]-Tabela_Belki_N[[#This Row],[hd]]</f>
        <v>4.0000000000000036E-2</v>
      </c>
      <c r="I98" s="1">
        <f t="shared" ref="I98" si="32">PRODUCT(F98:G98)</f>
        <v>0.18</v>
      </c>
      <c r="J98" s="1">
        <v>6.25</v>
      </c>
      <c r="K98" s="1">
        <f t="shared" si="29"/>
        <v>6.29</v>
      </c>
      <c r="L98" s="1">
        <f>PRODUCT(Tabela_Belki_N[[#This Row],[h '[m']]],Tabela_Belki_N[[#This Row],[A '[m2']]])</f>
        <v>7.2000000000000059E-3</v>
      </c>
      <c r="M98" s="1">
        <f>PRODUCT(Tabela_Belki_N[[#This Row],[Szt.]],Tabela_Belki_N[[#This Row],[Vj '[m3']]])</f>
        <v>7.2000000000000059E-3</v>
      </c>
      <c r="N98" s="1" t="s">
        <v>252</v>
      </c>
      <c r="O98" s="1"/>
    </row>
    <row r="99" spans="2:15" ht="15.75" customHeight="1" x14ac:dyDescent="0.3">
      <c r="B99" t="s">
        <v>181</v>
      </c>
      <c r="C99" t="s">
        <v>365</v>
      </c>
      <c r="D99">
        <v>1</v>
      </c>
      <c r="E99" t="s">
        <v>184</v>
      </c>
      <c r="F99">
        <v>1.1100000000000001</v>
      </c>
      <c r="G99">
        <v>0.18</v>
      </c>
      <c r="H99" s="1">
        <f>Tabela_Belki_N[[#This Row],[hg]]-Tabela_Belki_N[[#This Row],[hd]]</f>
        <v>4.0000000000000036E-2</v>
      </c>
      <c r="I99" s="1">
        <f t="shared" ref="I99" si="33">PRODUCT(F99:G99)</f>
        <v>0.19980000000000001</v>
      </c>
      <c r="J99" s="1">
        <v>6.25</v>
      </c>
      <c r="K99" s="1">
        <f t="shared" si="29"/>
        <v>6.29</v>
      </c>
      <c r="L99" s="1">
        <f>PRODUCT(Tabela_Belki_N[[#This Row],[h '[m']]],Tabela_Belki_N[[#This Row],[A '[m2']]])</f>
        <v>7.9920000000000078E-3</v>
      </c>
      <c r="M99" s="1">
        <f>PRODUCT(Tabela_Belki_N[[#This Row],[Szt.]],Tabela_Belki_N[[#This Row],[Vj '[m3']]])</f>
        <v>7.9920000000000078E-3</v>
      </c>
      <c r="N99" s="1" t="s">
        <v>251</v>
      </c>
      <c r="O99" s="1"/>
    </row>
    <row r="100" spans="2:15" ht="15.75" customHeight="1" x14ac:dyDescent="0.3">
      <c r="B100" t="s">
        <v>181</v>
      </c>
      <c r="C100" t="s">
        <v>365</v>
      </c>
      <c r="D100">
        <v>3</v>
      </c>
      <c r="E100" t="s">
        <v>184</v>
      </c>
      <c r="F100">
        <v>1.02</v>
      </c>
      <c r="G100">
        <v>0.18</v>
      </c>
      <c r="H100" s="1">
        <f>Tabela_Belki_N[[#This Row],[hg]]-Tabela_Belki_N[[#This Row],[hd]]</f>
        <v>4.0000000000000036E-2</v>
      </c>
      <c r="I100" s="1">
        <f t="shared" ref="I100" si="34">PRODUCT(F100:G100)</f>
        <v>0.18359999999999999</v>
      </c>
      <c r="J100" s="1">
        <v>6.25</v>
      </c>
      <c r="K100" s="1">
        <f t="shared" si="29"/>
        <v>6.29</v>
      </c>
      <c r="L100" s="1">
        <f>PRODUCT(Tabela_Belki_N[[#This Row],[h '[m']]],Tabela_Belki_N[[#This Row],[A '[m2']]])</f>
        <v>7.3440000000000059E-3</v>
      </c>
      <c r="M100" s="1">
        <f>PRODUCT(Tabela_Belki_N[[#This Row],[Szt.]],Tabela_Belki_N[[#This Row],[Vj '[m3']]])</f>
        <v>2.2032000000000017E-2</v>
      </c>
      <c r="N100" s="1" t="s">
        <v>253</v>
      </c>
      <c r="O100" s="1"/>
    </row>
    <row r="101" spans="2:15" ht="15.75" customHeight="1" x14ac:dyDescent="0.3">
      <c r="B101" t="s">
        <v>181</v>
      </c>
      <c r="C101" t="s">
        <v>366</v>
      </c>
      <c r="E101" t="s">
        <v>184</v>
      </c>
      <c r="F101">
        <v>249.48</v>
      </c>
      <c r="G101">
        <v>0.18</v>
      </c>
      <c r="H101" s="1">
        <f>Tabela_Belki_N[[#This Row],[hg]]-Tabela_Belki_N[[#This Row],[hd]]</f>
        <v>4.0000000000000924E-2</v>
      </c>
      <c r="I101" s="1">
        <f t="shared" ref="I101:I106" si="35">PRODUCT(F101:G101)</f>
        <v>44.906399999999998</v>
      </c>
      <c r="J101" s="1">
        <v>9.35</v>
      </c>
      <c r="K101" s="1">
        <f>9.57-0.18</f>
        <v>9.39</v>
      </c>
      <c r="L101" s="1">
        <f>PRODUCT(Tabela_Belki_N[[#This Row],[h '[m']]],Tabela_Belki_N[[#This Row],[A '[m2']]])</f>
        <v>1.7962560000000414</v>
      </c>
      <c r="M101" s="1">
        <f>PRODUCT(Tabela_Belki_N[[#This Row],[Szt.]],Tabela_Belki_N[[#This Row],[Vj '[m3']]])</f>
        <v>1.7962560000000414</v>
      </c>
      <c r="N101" s="1"/>
      <c r="O101" s="1"/>
    </row>
    <row r="102" spans="2:15" ht="15.75" customHeight="1" x14ac:dyDescent="0.3">
      <c r="B102" t="s">
        <v>181</v>
      </c>
      <c r="C102" t="s">
        <v>366</v>
      </c>
      <c r="D102">
        <v>13</v>
      </c>
      <c r="E102" t="s">
        <v>184</v>
      </c>
      <c r="F102">
        <v>1.02</v>
      </c>
      <c r="G102">
        <v>0.18</v>
      </c>
      <c r="H102" s="1">
        <f>Tabela_Belki_N[[#This Row],[hg]]-Tabela_Belki_N[[#This Row],[hd]]</f>
        <v>4.0000000000000924E-2</v>
      </c>
      <c r="I102" s="1">
        <f t="shared" si="35"/>
        <v>0.18359999999999999</v>
      </c>
      <c r="J102" s="1">
        <v>9.35</v>
      </c>
      <c r="K102" s="1">
        <f t="shared" ref="K102:K106" si="36">9.57-0.18</f>
        <v>9.39</v>
      </c>
      <c r="L102" s="1">
        <f>PRODUCT(Tabela_Belki_N[[#This Row],[h '[m']]],Tabela_Belki_N[[#This Row],[A '[m2']]])</f>
        <v>7.344000000000169E-3</v>
      </c>
      <c r="M102" s="1">
        <f>PRODUCT(Tabela_Belki_N[[#This Row],[Szt.]],Tabela_Belki_N[[#This Row],[Vj '[m3']]])</f>
        <v>9.5472000000002194E-2</v>
      </c>
      <c r="N102" s="1" t="s">
        <v>249</v>
      </c>
      <c r="O102" s="1"/>
    </row>
    <row r="103" spans="2:15" ht="15.75" customHeight="1" x14ac:dyDescent="0.3">
      <c r="B103" t="s">
        <v>181</v>
      </c>
      <c r="C103" t="s">
        <v>366</v>
      </c>
      <c r="D103">
        <v>1</v>
      </c>
      <c r="E103" t="s">
        <v>184</v>
      </c>
      <c r="F103">
        <v>0.9</v>
      </c>
      <c r="G103">
        <v>0.18</v>
      </c>
      <c r="H103" s="1">
        <f>Tabela_Belki_N[[#This Row],[hg]]-Tabela_Belki_N[[#This Row],[hd]]</f>
        <v>4.0000000000000924E-2</v>
      </c>
      <c r="I103" s="1">
        <f t="shared" si="35"/>
        <v>0.16200000000000001</v>
      </c>
      <c r="J103" s="1">
        <v>9.35</v>
      </c>
      <c r="K103" s="1">
        <f t="shared" si="36"/>
        <v>9.39</v>
      </c>
      <c r="L103" s="1">
        <f>PRODUCT(Tabela_Belki_N[[#This Row],[h '[m']]],Tabela_Belki_N[[#This Row],[A '[m2']]])</f>
        <v>6.4800000000001497E-3</v>
      </c>
      <c r="M103" s="1">
        <f>PRODUCT(Tabela_Belki_N[[#This Row],[Szt.]],Tabela_Belki_N[[#This Row],[Vj '[m3']]])</f>
        <v>6.4800000000001497E-3</v>
      </c>
      <c r="N103" s="1" t="s">
        <v>250</v>
      </c>
      <c r="O103" s="1"/>
    </row>
    <row r="104" spans="2:15" ht="15.75" customHeight="1" x14ac:dyDescent="0.3">
      <c r="B104" t="s">
        <v>181</v>
      </c>
      <c r="C104" t="s">
        <v>366</v>
      </c>
      <c r="D104">
        <v>1</v>
      </c>
      <c r="E104" t="s">
        <v>184</v>
      </c>
      <c r="F104">
        <v>1</v>
      </c>
      <c r="G104">
        <v>0.18</v>
      </c>
      <c r="H104" s="1">
        <f>Tabela_Belki_N[[#This Row],[hg]]-Tabela_Belki_N[[#This Row],[hd]]</f>
        <v>4.0000000000000924E-2</v>
      </c>
      <c r="I104" s="1">
        <f t="shared" si="35"/>
        <v>0.18</v>
      </c>
      <c r="J104" s="1">
        <v>9.35</v>
      </c>
      <c r="K104" s="1">
        <f t="shared" si="36"/>
        <v>9.39</v>
      </c>
      <c r="L104" s="1">
        <f>PRODUCT(Tabela_Belki_N[[#This Row],[h '[m']]],Tabela_Belki_N[[#This Row],[A '[m2']]])</f>
        <v>7.2000000000001663E-3</v>
      </c>
      <c r="M104" s="1">
        <f>PRODUCT(Tabela_Belki_N[[#This Row],[Szt.]],Tabela_Belki_N[[#This Row],[Vj '[m3']]])</f>
        <v>7.2000000000001663E-3</v>
      </c>
      <c r="N104" s="1" t="s">
        <v>252</v>
      </c>
      <c r="O104" s="1"/>
    </row>
    <row r="105" spans="2:15" ht="15.75" customHeight="1" x14ac:dyDescent="0.3">
      <c r="B105" t="s">
        <v>181</v>
      </c>
      <c r="C105" t="s">
        <v>366</v>
      </c>
      <c r="D105">
        <v>1</v>
      </c>
      <c r="E105" t="s">
        <v>184</v>
      </c>
      <c r="F105">
        <v>1.1100000000000001</v>
      </c>
      <c r="G105">
        <v>0.18</v>
      </c>
      <c r="H105" s="1">
        <f>Tabela_Belki_N[[#This Row],[hg]]-Tabela_Belki_N[[#This Row],[hd]]</f>
        <v>4.0000000000000924E-2</v>
      </c>
      <c r="I105" s="1">
        <f t="shared" si="35"/>
        <v>0.19980000000000001</v>
      </c>
      <c r="J105" s="1">
        <v>9.35</v>
      </c>
      <c r="K105" s="1">
        <f t="shared" si="36"/>
        <v>9.39</v>
      </c>
      <c r="L105" s="1">
        <f>PRODUCT(Tabela_Belki_N[[#This Row],[h '[m']]],Tabela_Belki_N[[#This Row],[A '[m2']]])</f>
        <v>7.9920000000001847E-3</v>
      </c>
      <c r="M105" s="1">
        <f>PRODUCT(Tabela_Belki_N[[#This Row],[Szt.]],Tabela_Belki_N[[#This Row],[Vj '[m3']]])</f>
        <v>7.9920000000001847E-3</v>
      </c>
      <c r="N105" s="1" t="s">
        <v>251</v>
      </c>
      <c r="O105" s="1"/>
    </row>
    <row r="106" spans="2:15" ht="15.75" customHeight="1" x14ac:dyDescent="0.3">
      <c r="B106" t="s">
        <v>181</v>
      </c>
      <c r="C106" t="s">
        <v>366</v>
      </c>
      <c r="D106">
        <v>4</v>
      </c>
      <c r="E106" t="s">
        <v>184</v>
      </c>
      <c r="F106">
        <v>1.02</v>
      </c>
      <c r="G106">
        <v>0.18</v>
      </c>
      <c r="H106" s="1">
        <f>Tabela_Belki_N[[#This Row],[hg]]-Tabela_Belki_N[[#This Row],[hd]]</f>
        <v>4.0000000000000924E-2</v>
      </c>
      <c r="I106" s="1">
        <f t="shared" si="35"/>
        <v>0.18359999999999999</v>
      </c>
      <c r="J106" s="1">
        <v>9.35</v>
      </c>
      <c r="K106" s="1">
        <f t="shared" si="36"/>
        <v>9.39</v>
      </c>
      <c r="L106" s="1">
        <f>PRODUCT(Tabela_Belki_N[[#This Row],[h '[m']]],Tabela_Belki_N[[#This Row],[A '[m2']]])</f>
        <v>7.344000000000169E-3</v>
      </c>
      <c r="M106" s="1">
        <f>PRODUCT(Tabela_Belki_N[[#This Row],[Szt.]],Tabela_Belki_N[[#This Row],[Vj '[m3']]])</f>
        <v>2.9376000000000676E-2</v>
      </c>
      <c r="N106" s="1" t="s">
        <v>253</v>
      </c>
      <c r="O106" s="1"/>
    </row>
    <row r="107" spans="2:15" ht="15.75" customHeight="1" x14ac:dyDescent="0.3">
      <c r="B107" t="s">
        <v>181</v>
      </c>
      <c r="C107" t="s">
        <v>367</v>
      </c>
      <c r="E107" t="s">
        <v>184</v>
      </c>
      <c r="F107">
        <v>266.7</v>
      </c>
      <c r="G107">
        <v>0.18</v>
      </c>
      <c r="H107" s="1">
        <f>Tabela_Belki_N[[#This Row],[hg]]-Tabela_Belki_N[[#This Row],[hd]]</f>
        <v>4.0000000000000924E-2</v>
      </c>
      <c r="I107" s="1">
        <f t="shared" ref="I107:I112" si="37">PRODUCT(F107:G107)</f>
        <v>48.005999999999993</v>
      </c>
      <c r="J107" s="1">
        <v>12.45</v>
      </c>
      <c r="K107" s="1">
        <f>12.67-0.18</f>
        <v>12.49</v>
      </c>
      <c r="L107" s="1">
        <f>PRODUCT(Tabela_Belki_N[[#This Row],[h '[m']]],Tabela_Belki_N[[#This Row],[A '[m2']]])</f>
        <v>1.9202400000000441</v>
      </c>
      <c r="M107" s="1">
        <f>PRODUCT(Tabela_Belki_N[[#This Row],[Szt.]],Tabela_Belki_N[[#This Row],[Vj '[m3']]])</f>
        <v>1.9202400000000441</v>
      </c>
      <c r="N107" s="1"/>
      <c r="O107" s="1"/>
    </row>
    <row r="108" spans="2:15" ht="15.75" customHeight="1" x14ac:dyDescent="0.3">
      <c r="B108" t="s">
        <v>181</v>
      </c>
      <c r="C108" t="s">
        <v>367</v>
      </c>
      <c r="D108">
        <v>13</v>
      </c>
      <c r="E108" t="s">
        <v>184</v>
      </c>
      <c r="F108">
        <v>1.02</v>
      </c>
      <c r="G108">
        <v>0.18</v>
      </c>
      <c r="H108" s="1">
        <f>Tabela_Belki_N[[#This Row],[hg]]-Tabela_Belki_N[[#This Row],[hd]]</f>
        <v>4.0000000000000924E-2</v>
      </c>
      <c r="I108" s="1">
        <f t="shared" si="37"/>
        <v>0.18359999999999999</v>
      </c>
      <c r="J108" s="1">
        <v>12.45</v>
      </c>
      <c r="K108" s="1">
        <f t="shared" ref="K108:K112" si="38">12.67-0.18</f>
        <v>12.49</v>
      </c>
      <c r="L108" s="1">
        <f>PRODUCT(Tabela_Belki_N[[#This Row],[h '[m']]],Tabela_Belki_N[[#This Row],[A '[m2']]])</f>
        <v>7.344000000000169E-3</v>
      </c>
      <c r="M108" s="1">
        <f>PRODUCT(Tabela_Belki_N[[#This Row],[Szt.]],Tabela_Belki_N[[#This Row],[Vj '[m3']]])</f>
        <v>9.5472000000002194E-2</v>
      </c>
      <c r="N108" s="1" t="s">
        <v>249</v>
      </c>
      <c r="O108" s="1"/>
    </row>
    <row r="109" spans="2:15" ht="15.75" customHeight="1" x14ac:dyDescent="0.3">
      <c r="B109" t="s">
        <v>181</v>
      </c>
      <c r="C109" t="s">
        <v>367</v>
      </c>
      <c r="D109">
        <v>1</v>
      </c>
      <c r="E109" t="s">
        <v>184</v>
      </c>
      <c r="F109">
        <v>0.9</v>
      </c>
      <c r="G109">
        <v>0.18</v>
      </c>
      <c r="H109" s="1">
        <f>Tabela_Belki_N[[#This Row],[hg]]-Tabela_Belki_N[[#This Row],[hd]]</f>
        <v>4.0000000000000924E-2</v>
      </c>
      <c r="I109" s="1">
        <f t="shared" si="37"/>
        <v>0.16200000000000001</v>
      </c>
      <c r="J109" s="1">
        <v>12.45</v>
      </c>
      <c r="K109" s="1">
        <f t="shared" si="38"/>
        <v>12.49</v>
      </c>
      <c r="L109" s="1">
        <f>PRODUCT(Tabela_Belki_N[[#This Row],[h '[m']]],Tabela_Belki_N[[#This Row],[A '[m2']]])</f>
        <v>6.4800000000001497E-3</v>
      </c>
      <c r="M109" s="1">
        <f>PRODUCT(Tabela_Belki_N[[#This Row],[Szt.]],Tabela_Belki_N[[#This Row],[Vj '[m3']]])</f>
        <v>6.4800000000001497E-3</v>
      </c>
      <c r="N109" s="1" t="s">
        <v>250</v>
      </c>
      <c r="O109" s="1"/>
    </row>
    <row r="110" spans="2:15" ht="15.75" customHeight="1" x14ac:dyDescent="0.3">
      <c r="B110" t="s">
        <v>181</v>
      </c>
      <c r="C110" t="s">
        <v>367</v>
      </c>
      <c r="D110">
        <v>1</v>
      </c>
      <c r="E110" t="s">
        <v>184</v>
      </c>
      <c r="F110">
        <v>1</v>
      </c>
      <c r="G110">
        <v>0.18</v>
      </c>
      <c r="H110" s="1">
        <f>Tabela_Belki_N[[#This Row],[hg]]-Tabela_Belki_N[[#This Row],[hd]]</f>
        <v>4.0000000000000924E-2</v>
      </c>
      <c r="I110" s="1">
        <f t="shared" si="37"/>
        <v>0.18</v>
      </c>
      <c r="J110" s="1">
        <v>12.45</v>
      </c>
      <c r="K110" s="1">
        <f t="shared" si="38"/>
        <v>12.49</v>
      </c>
      <c r="L110" s="1">
        <f>PRODUCT(Tabela_Belki_N[[#This Row],[h '[m']]],Tabela_Belki_N[[#This Row],[A '[m2']]])</f>
        <v>7.2000000000001663E-3</v>
      </c>
      <c r="M110" s="1">
        <f>PRODUCT(Tabela_Belki_N[[#This Row],[Szt.]],Tabela_Belki_N[[#This Row],[Vj '[m3']]])</f>
        <v>7.2000000000001663E-3</v>
      </c>
      <c r="N110" s="1" t="s">
        <v>252</v>
      </c>
      <c r="O110" s="1"/>
    </row>
    <row r="111" spans="2:15" ht="15.75" customHeight="1" x14ac:dyDescent="0.3">
      <c r="B111" t="s">
        <v>181</v>
      </c>
      <c r="C111" t="s">
        <v>367</v>
      </c>
      <c r="D111">
        <v>1</v>
      </c>
      <c r="E111" t="s">
        <v>184</v>
      </c>
      <c r="F111">
        <v>1.1100000000000001</v>
      </c>
      <c r="G111">
        <v>0.18</v>
      </c>
      <c r="H111" s="1">
        <f>Tabela_Belki_N[[#This Row],[hg]]-Tabela_Belki_N[[#This Row],[hd]]</f>
        <v>4.0000000000000924E-2</v>
      </c>
      <c r="I111" s="1">
        <f t="shared" si="37"/>
        <v>0.19980000000000001</v>
      </c>
      <c r="J111" s="1">
        <v>12.45</v>
      </c>
      <c r="K111" s="1">
        <f t="shared" si="38"/>
        <v>12.49</v>
      </c>
      <c r="L111" s="1">
        <f>PRODUCT(Tabela_Belki_N[[#This Row],[h '[m']]],Tabela_Belki_N[[#This Row],[A '[m2']]])</f>
        <v>7.9920000000001847E-3</v>
      </c>
      <c r="M111" s="1">
        <f>PRODUCT(Tabela_Belki_N[[#This Row],[Szt.]],Tabela_Belki_N[[#This Row],[Vj '[m3']]])</f>
        <v>7.9920000000001847E-3</v>
      </c>
      <c r="N111" s="1" t="s">
        <v>251</v>
      </c>
      <c r="O111" s="1"/>
    </row>
    <row r="112" spans="2:15" ht="15.75" customHeight="1" x14ac:dyDescent="0.3">
      <c r="B112" t="s">
        <v>181</v>
      </c>
      <c r="C112" t="s">
        <v>367</v>
      </c>
      <c r="D112">
        <v>4</v>
      </c>
      <c r="E112" t="s">
        <v>184</v>
      </c>
      <c r="F112">
        <v>1.02</v>
      </c>
      <c r="G112">
        <v>0.18</v>
      </c>
      <c r="H112" s="1">
        <f>Tabela_Belki_N[[#This Row],[hg]]-Tabela_Belki_N[[#This Row],[hd]]</f>
        <v>4.0000000000000924E-2</v>
      </c>
      <c r="I112" s="1">
        <f t="shared" si="37"/>
        <v>0.18359999999999999</v>
      </c>
      <c r="J112" s="1">
        <v>12.45</v>
      </c>
      <c r="K112" s="1">
        <f t="shared" si="38"/>
        <v>12.49</v>
      </c>
      <c r="L112" s="1">
        <f>PRODUCT(Tabela_Belki_N[[#This Row],[h '[m']]],Tabela_Belki_N[[#This Row],[A '[m2']]])</f>
        <v>7.344000000000169E-3</v>
      </c>
      <c r="M112" s="1">
        <f>PRODUCT(Tabela_Belki_N[[#This Row],[Szt.]],Tabela_Belki_N[[#This Row],[Vj '[m3']]])</f>
        <v>2.9376000000000676E-2</v>
      </c>
      <c r="N112" s="1" t="s">
        <v>253</v>
      </c>
      <c r="O112" s="1"/>
    </row>
    <row r="113" spans="2:15" ht="15.75" customHeight="1" x14ac:dyDescent="0.3">
      <c r="B113" t="s">
        <v>181</v>
      </c>
      <c r="C113" t="s">
        <v>368</v>
      </c>
      <c r="E113" t="s">
        <v>184</v>
      </c>
      <c r="F113">
        <v>261.3</v>
      </c>
      <c r="G113">
        <v>0.18</v>
      </c>
      <c r="H113" s="1">
        <f>Tabela_Belki_N[[#This Row],[hg]]-Tabela_Belki_N[[#This Row],[hd]]</f>
        <v>3.9999999999999147E-2</v>
      </c>
      <c r="I113" s="1">
        <f t="shared" ref="I113:I118" si="39">PRODUCT(F113:G113)</f>
        <v>47.033999999999999</v>
      </c>
      <c r="J113" s="1">
        <v>15.55</v>
      </c>
      <c r="K113" s="1">
        <f>15.77-0.18</f>
        <v>15.59</v>
      </c>
      <c r="L113" s="1">
        <f>PRODUCT(Tabela_Belki_N[[#This Row],[h '[m']]],Tabela_Belki_N[[#This Row],[A '[m2']]])</f>
        <v>1.88135999999996</v>
      </c>
      <c r="M113" s="1">
        <f>PRODUCT(Tabela_Belki_N[[#This Row],[Szt.]],Tabela_Belki_N[[#This Row],[Vj '[m3']]])</f>
        <v>1.88135999999996</v>
      </c>
      <c r="N113" s="1"/>
      <c r="O113" s="1"/>
    </row>
    <row r="114" spans="2:15" ht="15.75" customHeight="1" x14ac:dyDescent="0.3">
      <c r="B114" t="s">
        <v>181</v>
      </c>
      <c r="C114" t="s">
        <v>368</v>
      </c>
      <c r="D114">
        <v>13</v>
      </c>
      <c r="E114" t="s">
        <v>184</v>
      </c>
      <c r="F114">
        <v>1.02</v>
      </c>
      <c r="G114">
        <v>0.18</v>
      </c>
      <c r="H114" s="1">
        <f>Tabela_Belki_N[[#This Row],[hg]]-Tabela_Belki_N[[#This Row],[hd]]</f>
        <v>3.9999999999999147E-2</v>
      </c>
      <c r="I114" s="1">
        <f t="shared" si="39"/>
        <v>0.18359999999999999</v>
      </c>
      <c r="J114" s="1">
        <v>15.55</v>
      </c>
      <c r="K114" s="1">
        <f t="shared" ref="K114:K118" si="40">15.77-0.18</f>
        <v>15.59</v>
      </c>
      <c r="L114" s="1">
        <f>PRODUCT(Tabela_Belki_N[[#This Row],[h '[m']]],Tabela_Belki_N[[#This Row],[A '[m2']]])</f>
        <v>7.3439999999998428E-3</v>
      </c>
      <c r="M114" s="1">
        <f>PRODUCT(Tabela_Belki_N[[#This Row],[Szt.]],Tabela_Belki_N[[#This Row],[Vj '[m3']]])</f>
        <v>9.5471999999997961E-2</v>
      </c>
      <c r="N114" s="1" t="s">
        <v>249</v>
      </c>
      <c r="O114" s="1"/>
    </row>
    <row r="115" spans="2:15" ht="15.75" customHeight="1" x14ac:dyDescent="0.3">
      <c r="B115" t="s">
        <v>181</v>
      </c>
      <c r="C115" t="s">
        <v>368</v>
      </c>
      <c r="D115">
        <v>1</v>
      </c>
      <c r="E115" t="s">
        <v>184</v>
      </c>
      <c r="F115">
        <v>0.9</v>
      </c>
      <c r="G115">
        <v>0.18</v>
      </c>
      <c r="H115" s="1">
        <f>Tabela_Belki_N[[#This Row],[hg]]-Tabela_Belki_N[[#This Row],[hd]]</f>
        <v>3.9999999999999147E-2</v>
      </c>
      <c r="I115" s="1">
        <f t="shared" si="39"/>
        <v>0.16200000000000001</v>
      </c>
      <c r="J115" s="1">
        <v>15.55</v>
      </c>
      <c r="K115" s="1">
        <f t="shared" si="40"/>
        <v>15.59</v>
      </c>
      <c r="L115" s="1">
        <f>PRODUCT(Tabela_Belki_N[[#This Row],[h '[m']]],Tabela_Belki_N[[#This Row],[A '[m2']]])</f>
        <v>6.4799999999998617E-3</v>
      </c>
      <c r="M115" s="1">
        <f>PRODUCT(Tabela_Belki_N[[#This Row],[Szt.]],Tabela_Belki_N[[#This Row],[Vj '[m3']]])</f>
        <v>6.4799999999998617E-3</v>
      </c>
      <c r="N115" s="1" t="s">
        <v>250</v>
      </c>
      <c r="O115" s="1"/>
    </row>
    <row r="116" spans="2:15" ht="15.75" customHeight="1" x14ac:dyDescent="0.3">
      <c r="B116" t="s">
        <v>181</v>
      </c>
      <c r="C116" t="s">
        <v>368</v>
      </c>
      <c r="D116">
        <v>1</v>
      </c>
      <c r="E116" t="s">
        <v>184</v>
      </c>
      <c r="F116">
        <v>1</v>
      </c>
      <c r="G116">
        <v>0.18</v>
      </c>
      <c r="H116" s="1">
        <f>Tabela_Belki_N[[#This Row],[hg]]-Tabela_Belki_N[[#This Row],[hd]]</f>
        <v>3.9999999999999147E-2</v>
      </c>
      <c r="I116" s="1">
        <f t="shared" si="39"/>
        <v>0.18</v>
      </c>
      <c r="J116" s="1">
        <v>15.55</v>
      </c>
      <c r="K116" s="1">
        <f t="shared" si="40"/>
        <v>15.59</v>
      </c>
      <c r="L116" s="1">
        <f>PRODUCT(Tabela_Belki_N[[#This Row],[h '[m']]],Tabela_Belki_N[[#This Row],[A '[m2']]])</f>
        <v>7.1999999999998463E-3</v>
      </c>
      <c r="M116" s="1">
        <f>PRODUCT(Tabela_Belki_N[[#This Row],[Szt.]],Tabela_Belki_N[[#This Row],[Vj '[m3']]])</f>
        <v>7.1999999999998463E-3</v>
      </c>
      <c r="N116" s="1" t="s">
        <v>252</v>
      </c>
      <c r="O116" s="1"/>
    </row>
    <row r="117" spans="2:15" ht="15.75" customHeight="1" x14ac:dyDescent="0.3">
      <c r="B117" t="s">
        <v>181</v>
      </c>
      <c r="C117" t="s">
        <v>368</v>
      </c>
      <c r="D117">
        <v>1</v>
      </c>
      <c r="E117" t="s">
        <v>184</v>
      </c>
      <c r="F117">
        <v>1.1100000000000001</v>
      </c>
      <c r="G117">
        <v>0.18</v>
      </c>
      <c r="H117" s="1">
        <f>Tabela_Belki_N[[#This Row],[hg]]-Tabela_Belki_N[[#This Row],[hd]]</f>
        <v>3.9999999999999147E-2</v>
      </c>
      <c r="I117" s="1">
        <f t="shared" si="39"/>
        <v>0.19980000000000001</v>
      </c>
      <c r="J117" s="1">
        <v>15.55</v>
      </c>
      <c r="K117" s="1">
        <f t="shared" si="40"/>
        <v>15.59</v>
      </c>
      <c r="L117" s="1">
        <f>PRODUCT(Tabela_Belki_N[[#This Row],[h '[m']]],Tabela_Belki_N[[#This Row],[A '[m2']]])</f>
        <v>7.9919999999998291E-3</v>
      </c>
      <c r="M117" s="1">
        <f>PRODUCT(Tabela_Belki_N[[#This Row],[Szt.]],Tabela_Belki_N[[#This Row],[Vj '[m3']]])</f>
        <v>7.9919999999998291E-3</v>
      </c>
      <c r="N117" s="1" t="s">
        <v>251</v>
      </c>
      <c r="O117" s="1"/>
    </row>
    <row r="118" spans="2:15" ht="15.75" customHeight="1" x14ac:dyDescent="0.3">
      <c r="B118" t="s">
        <v>181</v>
      </c>
      <c r="C118" t="s">
        <v>368</v>
      </c>
      <c r="D118">
        <v>4</v>
      </c>
      <c r="E118" t="s">
        <v>184</v>
      </c>
      <c r="F118">
        <v>1.02</v>
      </c>
      <c r="G118">
        <v>0.18</v>
      </c>
      <c r="H118" s="1">
        <f>Tabela_Belki_N[[#This Row],[hg]]-Tabela_Belki_N[[#This Row],[hd]]</f>
        <v>3.9999999999999147E-2</v>
      </c>
      <c r="I118" s="1">
        <f t="shared" si="39"/>
        <v>0.18359999999999999</v>
      </c>
      <c r="J118" s="1">
        <v>15.55</v>
      </c>
      <c r="K118" s="1">
        <f t="shared" si="40"/>
        <v>15.59</v>
      </c>
      <c r="L118" s="1">
        <f>PRODUCT(Tabela_Belki_N[[#This Row],[h '[m']]],Tabela_Belki_N[[#This Row],[A '[m2']]])</f>
        <v>7.3439999999998428E-3</v>
      </c>
      <c r="M118" s="1">
        <f>PRODUCT(Tabela_Belki_N[[#This Row],[Szt.]],Tabela_Belki_N[[#This Row],[Vj '[m3']]])</f>
        <v>2.9375999999999371E-2</v>
      </c>
      <c r="N118" s="1" t="s">
        <v>253</v>
      </c>
      <c r="O118" s="1"/>
    </row>
    <row r="119" spans="2:15" ht="15.75" customHeight="1" x14ac:dyDescent="0.3">
      <c r="B119" t="s">
        <v>256</v>
      </c>
      <c r="C119" t="s">
        <v>368</v>
      </c>
      <c r="D119">
        <v>3</v>
      </c>
      <c r="E119" t="s">
        <v>246</v>
      </c>
      <c r="F119">
        <v>1.56</v>
      </c>
      <c r="G119">
        <v>0.18</v>
      </c>
      <c r="H119" s="1">
        <f>Tabela_Belki_N[[#This Row],[hg]]-Tabela_Belki_N[[#This Row],[hd]]</f>
        <v>0.5</v>
      </c>
      <c r="I119" s="1">
        <f t="shared" ref="I119:I120" si="41">PRODUCT(F119:G119)</f>
        <v>0.28079999999999999</v>
      </c>
      <c r="J119" s="1">
        <v>15.09</v>
      </c>
      <c r="K119" s="1">
        <f>15.77-0.18</f>
        <v>15.59</v>
      </c>
      <c r="L119" s="1">
        <f>PRODUCT(Tabela_Belki_N[[#This Row],[h '[m']]],Tabela_Belki_N[[#This Row],[A '[m2']]])</f>
        <v>0.1404</v>
      </c>
      <c r="M119" s="1">
        <f>PRODUCT(Tabela_Belki_N[[#This Row],[Szt.]],Tabela_Belki_N[[#This Row],[Vj '[m3']]])</f>
        <v>0.42120000000000002</v>
      </c>
      <c r="N119" s="1" t="s">
        <v>248</v>
      </c>
      <c r="O119" s="1"/>
    </row>
    <row r="120" spans="2:15" ht="15.75" customHeight="1" x14ac:dyDescent="0.3">
      <c r="B120" t="s">
        <v>256</v>
      </c>
      <c r="C120" t="s">
        <v>368</v>
      </c>
      <c r="D120">
        <v>3</v>
      </c>
      <c r="E120" t="s">
        <v>247</v>
      </c>
      <c r="F120">
        <v>2.2650000000000001</v>
      </c>
      <c r="G120">
        <v>0.18</v>
      </c>
      <c r="H120" s="1">
        <f>Tabela_Belki_N[[#This Row],[hg]]-Tabela_Belki_N[[#This Row],[hd]]</f>
        <v>0.5</v>
      </c>
      <c r="I120" s="1">
        <f t="shared" si="41"/>
        <v>0.40770000000000001</v>
      </c>
      <c r="J120" s="1">
        <v>15.09</v>
      </c>
      <c r="K120" s="1">
        <f>15.77-0.18</f>
        <v>15.59</v>
      </c>
      <c r="L120" s="1">
        <f>PRODUCT(Tabela_Belki_N[[#This Row],[h '[m']]],Tabela_Belki_N[[#This Row],[A '[m2']]])</f>
        <v>0.20385</v>
      </c>
      <c r="M120" s="1">
        <f>PRODUCT(Tabela_Belki_N[[#This Row],[Szt.]],Tabela_Belki_N[[#This Row],[Vj '[m3']]])</f>
        <v>0.61155000000000004</v>
      </c>
      <c r="N120" s="1" t="s">
        <v>248</v>
      </c>
      <c r="O120" s="1"/>
    </row>
    <row r="121" spans="2:15" ht="15.75" customHeight="1" x14ac:dyDescent="0.3">
      <c r="B121" t="s">
        <v>186</v>
      </c>
      <c r="C121" t="s">
        <v>364</v>
      </c>
      <c r="E121" t="s">
        <v>185</v>
      </c>
      <c r="F121">
        <v>58.58</v>
      </c>
      <c r="G121">
        <v>0.18</v>
      </c>
      <c r="H121" s="1">
        <f>Tabela_Belki_N[[#This Row],[hg]]-Tabela_Belki_N[[#This Row],[hd]]</f>
        <v>1.1000000000000014</v>
      </c>
      <c r="I121" s="1">
        <f t="shared" si="22"/>
        <v>10.5444</v>
      </c>
      <c r="J121" s="1">
        <v>15.77</v>
      </c>
      <c r="K121" s="1">
        <v>16.87</v>
      </c>
      <c r="L121" s="1">
        <f>PRODUCT(Tabela_Belki_N[[#This Row],[h '[m']]],Tabela_Belki_N[[#This Row],[A '[m2']]])</f>
        <v>11.598840000000015</v>
      </c>
      <c r="M121" s="1">
        <f>PRODUCT(Tabela_Belki_N[[#This Row],[Szt.]],Tabela_Belki_N[[#This Row],[Vj '[m3']]])</f>
        <v>11.598840000000015</v>
      </c>
      <c r="N121" s="1"/>
      <c r="O121" s="1" t="s">
        <v>287</v>
      </c>
    </row>
    <row r="122" spans="2:15" ht="15.75" customHeight="1" x14ac:dyDescent="0.3">
      <c r="B122" t="s">
        <v>186</v>
      </c>
      <c r="C122" t="s">
        <v>364</v>
      </c>
      <c r="E122" t="s">
        <v>185</v>
      </c>
      <c r="F122">
        <v>111.91</v>
      </c>
      <c r="G122">
        <v>0.18</v>
      </c>
      <c r="H122" s="1">
        <f>Tabela_Belki_N[[#This Row],[hg]]-Tabela_Belki_N[[#This Row],[hd]]</f>
        <v>1.1000000000000014</v>
      </c>
      <c r="I122" s="1">
        <f t="shared" ref="I122" si="42">PRODUCT(F122:G122)</f>
        <v>20.143799999999999</v>
      </c>
      <c r="J122" s="1">
        <v>15.77</v>
      </c>
      <c r="K122" s="1">
        <v>16.87</v>
      </c>
      <c r="L122" s="1">
        <f>PRODUCT(Tabela_Belki_N[[#This Row],[h '[m']]],Tabela_Belki_N[[#This Row],[A '[m2']]])</f>
        <v>22.158180000000026</v>
      </c>
      <c r="M122" s="1">
        <f>PRODUCT(Tabela_Belki_N[[#This Row],[Szt.]],Tabela_Belki_N[[#This Row],[Vj '[m3']]])</f>
        <v>22.158180000000026</v>
      </c>
      <c r="N122" s="1"/>
      <c r="O122" s="1"/>
    </row>
    <row r="123" spans="2:15" ht="15.75" customHeight="1" x14ac:dyDescent="0.3">
      <c r="B123" t="s">
        <v>187</v>
      </c>
      <c r="C123" t="s">
        <v>365</v>
      </c>
      <c r="D123">
        <v>3</v>
      </c>
      <c r="E123" t="s">
        <v>238</v>
      </c>
      <c r="F123">
        <v>2.6150000000000002</v>
      </c>
      <c r="G123">
        <f>0.36-0.18</f>
        <v>0.18</v>
      </c>
      <c r="H123" s="1">
        <f>Tabela_Belki_N[[#This Row],[hg]]-Tabela_Belki_N[[#This Row],[hd]]</f>
        <v>0.22000000000000064</v>
      </c>
      <c r="I123" s="1">
        <f t="shared" si="22"/>
        <v>0.47070000000000001</v>
      </c>
      <c r="J123" s="1">
        <v>4.6399999999999997</v>
      </c>
      <c r="K123" s="1">
        <v>4.8600000000000003</v>
      </c>
      <c r="L123" s="1">
        <f>PRODUCT(Tabela_Belki_N[[#This Row],[h '[m']]],Tabela_Belki_N[[#This Row],[A '[m2']]])</f>
        <v>0.1035540000000003</v>
      </c>
      <c r="M123" s="1">
        <f>PRODUCT(Tabela_Belki_N[[#This Row],[Szt.]],Tabela_Belki_N[[#This Row],[Vj '[m3']]])</f>
        <v>0.31066200000000088</v>
      </c>
      <c r="N123" s="1" t="s">
        <v>239</v>
      </c>
      <c r="O123" s="1"/>
    </row>
    <row r="124" spans="2:15" ht="15.75" customHeight="1" x14ac:dyDescent="0.3">
      <c r="B124" t="s">
        <v>187</v>
      </c>
      <c r="C124" t="s">
        <v>366</v>
      </c>
      <c r="D124">
        <v>3</v>
      </c>
      <c r="E124" t="s">
        <v>238</v>
      </c>
      <c r="F124">
        <v>2.2650000000000001</v>
      </c>
      <c r="G124">
        <f>0.36</f>
        <v>0.36</v>
      </c>
      <c r="H124" s="1">
        <f>Tabela_Belki_N[[#This Row],[hg]]-Tabela_Belki_N[[#This Row],[hd]]</f>
        <v>0.21999999999999975</v>
      </c>
      <c r="I124" s="1">
        <f t="shared" si="22"/>
        <v>0.81540000000000001</v>
      </c>
      <c r="J124" s="1">
        <v>7.74</v>
      </c>
      <c r="K124" s="1">
        <v>7.96</v>
      </c>
      <c r="L124" s="1">
        <f>PRODUCT(Tabela_Belki_N[[#This Row],[h '[m']]],Tabela_Belki_N[[#This Row],[A '[m2']]])</f>
        <v>0.1793879999999998</v>
      </c>
      <c r="M124" s="1">
        <f>PRODUCT(Tabela_Belki_N[[#This Row],[Szt.]],Tabela_Belki_N[[#This Row],[Vj '[m3']]])</f>
        <v>0.53816399999999942</v>
      </c>
      <c r="N124" s="1"/>
      <c r="O124" s="1"/>
    </row>
    <row r="125" spans="2:15" ht="15.75" customHeight="1" x14ac:dyDescent="0.3">
      <c r="B125" t="s">
        <v>187</v>
      </c>
      <c r="C125" t="s">
        <v>367</v>
      </c>
      <c r="D125">
        <v>3</v>
      </c>
      <c r="E125" t="s">
        <v>238</v>
      </c>
      <c r="F125">
        <v>2.2650000000000001</v>
      </c>
      <c r="G125">
        <f>0.36</f>
        <v>0.36</v>
      </c>
      <c r="H125" s="1">
        <f>Tabela_Belki_N[[#This Row],[hg]]-Tabela_Belki_N[[#This Row],[hd]]</f>
        <v>0.22000000000000064</v>
      </c>
      <c r="I125" s="1">
        <f t="shared" si="22"/>
        <v>0.81540000000000001</v>
      </c>
      <c r="J125" s="1">
        <v>10.84</v>
      </c>
      <c r="K125" s="1">
        <v>11.06</v>
      </c>
      <c r="L125" s="1">
        <f>PRODUCT(Tabela_Belki_N[[#This Row],[h '[m']]],Tabela_Belki_N[[#This Row],[A '[m2']]])</f>
        <v>0.17938800000000052</v>
      </c>
      <c r="M125" s="1">
        <f>PRODUCT(Tabela_Belki_N[[#This Row],[Szt.]],Tabela_Belki_N[[#This Row],[Vj '[m3']]])</f>
        <v>0.53816400000000153</v>
      </c>
      <c r="N125" s="1"/>
      <c r="O125" s="1"/>
    </row>
    <row r="126" spans="2:15" x14ac:dyDescent="0.3">
      <c r="B126" t="s">
        <v>188</v>
      </c>
      <c r="C126" t="s">
        <v>365</v>
      </c>
      <c r="D126">
        <v>4</v>
      </c>
      <c r="E126" t="s">
        <v>236</v>
      </c>
      <c r="F126">
        <v>1.02</v>
      </c>
      <c r="G126">
        <v>0.18</v>
      </c>
      <c r="H126" s="1">
        <f>Tabela_Belki_N[[#This Row],[hg]]-Tabela_Belki_N[[#This Row],[hd]]</f>
        <v>0.70000000000000018</v>
      </c>
      <c r="I126" s="1">
        <f t="shared" ref="I126" si="43">PRODUCT(F126:G126)</f>
        <v>0.18359999999999999</v>
      </c>
      <c r="J126" s="9">
        <v>5.59</v>
      </c>
      <c r="K126" s="9">
        <f>6.47-0.18</f>
        <v>6.29</v>
      </c>
      <c r="L126" s="1">
        <f>PRODUCT(Tabela_Belki_N[[#This Row],[h '[m']]],Tabela_Belki_N[[#This Row],[A '[m2']]])</f>
        <v>0.12852000000000002</v>
      </c>
      <c r="M126" s="1">
        <f>PRODUCT(Tabela_Belki_N[[#This Row],[Szt.]],Tabela_Belki_N[[#This Row],[Vj '[m3']]])</f>
        <v>0.51408000000000009</v>
      </c>
      <c r="N126" s="1"/>
      <c r="O126" s="1"/>
    </row>
    <row r="127" spans="2:15" x14ac:dyDescent="0.3">
      <c r="B127" t="s">
        <v>188</v>
      </c>
      <c r="C127" t="s">
        <v>365</v>
      </c>
      <c r="D127">
        <v>1</v>
      </c>
      <c r="E127" t="s">
        <v>189</v>
      </c>
      <c r="F127">
        <v>0.9</v>
      </c>
      <c r="G127">
        <v>0.18</v>
      </c>
      <c r="H127" s="1">
        <f>Tabela_Belki_N[[#This Row],[hg]]-Tabela_Belki_N[[#This Row],[hd]]</f>
        <v>0.70000000000000018</v>
      </c>
      <c r="I127" s="1">
        <f t="shared" ref="I127" si="44">PRODUCT(F127:G127)</f>
        <v>0.16200000000000001</v>
      </c>
      <c r="J127" s="9">
        <v>5.59</v>
      </c>
      <c r="K127" s="9">
        <f>6.47-0.18</f>
        <v>6.29</v>
      </c>
      <c r="L127" s="1">
        <f>PRODUCT(Tabela_Belki_N[[#This Row],[h '[m']]],Tabela_Belki_N[[#This Row],[A '[m2']]])</f>
        <v>0.11340000000000003</v>
      </c>
      <c r="M127" s="1">
        <f>PRODUCT(Tabela_Belki_N[[#This Row],[Szt.]],Tabela_Belki_N[[#This Row],[Vj '[m3']]])</f>
        <v>0.11340000000000003</v>
      </c>
      <c r="N127" s="1"/>
      <c r="O127" s="1"/>
    </row>
    <row r="128" spans="2:15" x14ac:dyDescent="0.3">
      <c r="B128" t="s">
        <v>188</v>
      </c>
      <c r="C128" t="s">
        <v>366</v>
      </c>
      <c r="D128">
        <v>1</v>
      </c>
      <c r="E128" t="s">
        <v>189</v>
      </c>
      <c r="F128">
        <v>0.9</v>
      </c>
      <c r="G128">
        <v>0.18</v>
      </c>
      <c r="H128" s="1">
        <f>Tabela_Belki_N[[#This Row],[hg]]-Tabela_Belki_N[[#This Row],[hd]]</f>
        <v>0.70000000000000107</v>
      </c>
      <c r="I128" s="1">
        <f t="shared" ref="I128:I130" si="45">PRODUCT(F128:G128)</f>
        <v>0.16200000000000001</v>
      </c>
      <c r="J128" s="9">
        <v>8.69</v>
      </c>
      <c r="K128" s="9">
        <f>9.57-0.18</f>
        <v>9.39</v>
      </c>
      <c r="L128" s="1">
        <f>PRODUCT(Tabela_Belki_N[[#This Row],[h '[m']]],Tabela_Belki_N[[#This Row],[A '[m2']]])</f>
        <v>0.11340000000000018</v>
      </c>
      <c r="M128" s="1">
        <f>PRODUCT(Tabela_Belki_N[[#This Row],[Szt.]],Tabela_Belki_N[[#This Row],[Vj '[m3']]])</f>
        <v>0.11340000000000018</v>
      </c>
      <c r="N128" s="1"/>
      <c r="O128" s="1"/>
    </row>
    <row r="129" spans="2:15" x14ac:dyDescent="0.3">
      <c r="B129" t="s">
        <v>188</v>
      </c>
      <c r="C129" t="s">
        <v>367</v>
      </c>
      <c r="D129">
        <v>1</v>
      </c>
      <c r="E129" t="s">
        <v>189</v>
      </c>
      <c r="F129">
        <v>0.9</v>
      </c>
      <c r="G129">
        <v>0.18</v>
      </c>
      <c r="H129" s="1">
        <f>Tabela_Belki_N[[#This Row],[hg]]-Tabela_Belki_N[[#This Row],[hd]]</f>
        <v>0.70000000000000107</v>
      </c>
      <c r="I129" s="1">
        <f t="shared" si="45"/>
        <v>0.16200000000000001</v>
      </c>
      <c r="J129" s="9">
        <v>11.79</v>
      </c>
      <c r="K129" s="9">
        <f>12.67-0.18</f>
        <v>12.49</v>
      </c>
      <c r="L129" s="1">
        <f>PRODUCT(Tabela_Belki_N[[#This Row],[h '[m']]],Tabela_Belki_N[[#This Row],[A '[m2']]])</f>
        <v>0.11340000000000018</v>
      </c>
      <c r="M129" s="1">
        <f>PRODUCT(Tabela_Belki_N[[#This Row],[Szt.]],Tabela_Belki_N[[#This Row],[Vj '[m3']]])</f>
        <v>0.11340000000000018</v>
      </c>
      <c r="N129" s="1"/>
      <c r="O129" s="1"/>
    </row>
    <row r="130" spans="2:15" x14ac:dyDescent="0.3">
      <c r="B130" t="s">
        <v>188</v>
      </c>
      <c r="C130" t="s">
        <v>368</v>
      </c>
      <c r="D130">
        <v>1</v>
      </c>
      <c r="E130" t="s">
        <v>189</v>
      </c>
      <c r="F130">
        <v>0.9</v>
      </c>
      <c r="G130">
        <v>0.18</v>
      </c>
      <c r="H130" s="1">
        <f>Tabela_Belki_N[[#This Row],[hg]]-Tabela_Belki_N[[#This Row],[hd]]</f>
        <v>0.69999999999999929</v>
      </c>
      <c r="I130" s="1">
        <f t="shared" si="45"/>
        <v>0.16200000000000001</v>
      </c>
      <c r="J130" s="9">
        <v>14.89</v>
      </c>
      <c r="K130" s="9">
        <f>15.77-0.18</f>
        <v>15.59</v>
      </c>
      <c r="L130" s="1">
        <f>PRODUCT(Tabela_Belki_N[[#This Row],[h '[m']]],Tabela_Belki_N[[#This Row],[A '[m2']]])</f>
        <v>0.11339999999999989</v>
      </c>
      <c r="M130" s="1">
        <f>PRODUCT(Tabela_Belki_N[[#This Row],[Szt.]],Tabela_Belki_N[[#This Row],[Vj '[m3']]])</f>
        <v>0.11339999999999989</v>
      </c>
      <c r="N130" s="1"/>
      <c r="O130" s="1"/>
    </row>
    <row r="131" spans="2:15" x14ac:dyDescent="0.3">
      <c r="B131" t="s">
        <v>188</v>
      </c>
      <c r="C131" t="s">
        <v>365</v>
      </c>
      <c r="D131">
        <v>7</v>
      </c>
      <c r="E131" t="s">
        <v>190</v>
      </c>
      <c r="F131">
        <v>1.83</v>
      </c>
      <c r="G131">
        <v>0.18</v>
      </c>
      <c r="H131" s="1">
        <f>Tabela_Belki_N[[#This Row],[hg]]-Tabela_Belki_N[[#This Row],[hd]]</f>
        <v>0.5</v>
      </c>
      <c r="I131" s="1">
        <f t="shared" ref="I131" si="46">PRODUCT(F131:G131)</f>
        <v>0.32940000000000003</v>
      </c>
      <c r="J131" s="9">
        <v>5.79</v>
      </c>
      <c r="K131" s="9">
        <f>6.47-0.18</f>
        <v>6.29</v>
      </c>
      <c r="L131" s="1">
        <f>PRODUCT(Tabela_Belki_N[[#This Row],[h '[m']]],Tabela_Belki_N[[#This Row],[A '[m2']]])</f>
        <v>0.16470000000000001</v>
      </c>
      <c r="M131" s="1">
        <f>PRODUCT(Tabela_Belki_N[[#This Row],[Szt.]],Tabela_Belki_N[[#This Row],[Vj '[m3']]])</f>
        <v>1.1529</v>
      </c>
      <c r="N131" s="1"/>
      <c r="O131" s="1"/>
    </row>
    <row r="132" spans="2:15" ht="15.75" customHeight="1" x14ac:dyDescent="0.3">
      <c r="B132" t="s">
        <v>188</v>
      </c>
      <c r="C132" t="s">
        <v>365</v>
      </c>
      <c r="D132">
        <v>15</v>
      </c>
      <c r="E132" t="s">
        <v>192</v>
      </c>
      <c r="F132">
        <v>1.43</v>
      </c>
      <c r="G132">
        <v>0.18</v>
      </c>
      <c r="H132" s="1">
        <f>Tabela_Belki_N[[#This Row],[hg]]-Tabela_Belki_N[[#This Row],[hd]]</f>
        <v>0.5</v>
      </c>
      <c r="I132" s="1">
        <f t="shared" ref="I132" si="47">PRODUCT(F132:G132)</f>
        <v>0.25739999999999996</v>
      </c>
      <c r="J132" s="9">
        <v>5.79</v>
      </c>
      <c r="K132" s="9">
        <f>6.47-0.18</f>
        <v>6.29</v>
      </c>
      <c r="L132" s="1">
        <f>PRODUCT(Tabela_Belki_N[[#This Row],[h '[m']]],Tabela_Belki_N[[#This Row],[A '[m2']]])</f>
        <v>0.12869999999999998</v>
      </c>
      <c r="M132" s="1">
        <f>PRODUCT(Tabela_Belki_N[[#This Row],[Szt.]],Tabela_Belki_N[[#This Row],[Vj '[m3']]])</f>
        <v>1.9304999999999997</v>
      </c>
      <c r="N132" s="1"/>
      <c r="O132" s="1"/>
    </row>
    <row r="133" spans="2:15" ht="15.75" customHeight="1" x14ac:dyDescent="0.3">
      <c r="B133" t="s">
        <v>188</v>
      </c>
      <c r="C133" t="s">
        <v>366</v>
      </c>
      <c r="D133">
        <v>3</v>
      </c>
      <c r="E133" t="s">
        <v>192</v>
      </c>
      <c r="F133">
        <v>1.43</v>
      </c>
      <c r="G133">
        <v>0.18</v>
      </c>
      <c r="H133" s="1">
        <f>Tabela_Belki_N[[#This Row],[hg]]-Tabela_Belki_N[[#This Row],[hd]]</f>
        <v>0.5</v>
      </c>
      <c r="I133" s="1">
        <f t="shared" ref="I133:I136" si="48">PRODUCT(F133:G133)</f>
        <v>0.25739999999999996</v>
      </c>
      <c r="J133" s="9">
        <v>8.89</v>
      </c>
      <c r="K133" s="9">
        <f>9.57-0.18</f>
        <v>9.39</v>
      </c>
      <c r="L133" s="1">
        <f>PRODUCT(Tabela_Belki_N[[#This Row],[h '[m']]],Tabela_Belki_N[[#This Row],[A '[m2']]])</f>
        <v>0.12869999999999998</v>
      </c>
      <c r="M133" s="1">
        <f>PRODUCT(Tabela_Belki_N[[#This Row],[Szt.]],Tabela_Belki_N[[#This Row],[Vj '[m3']]])</f>
        <v>0.38609999999999994</v>
      </c>
      <c r="N133" s="1"/>
      <c r="O133" s="1"/>
    </row>
    <row r="134" spans="2:15" ht="15.75" customHeight="1" x14ac:dyDescent="0.3">
      <c r="B134" t="s">
        <v>188</v>
      </c>
      <c r="C134" t="s">
        <v>367</v>
      </c>
      <c r="D134">
        <v>1</v>
      </c>
      <c r="E134" t="s">
        <v>192</v>
      </c>
      <c r="F134">
        <v>1.43</v>
      </c>
      <c r="G134">
        <v>0.18</v>
      </c>
      <c r="H134" s="1">
        <f>Tabela_Belki_N[[#This Row],[hg]]-Tabela_Belki_N[[#This Row],[hd]]</f>
        <v>0.5</v>
      </c>
      <c r="I134" s="1">
        <f t="shared" si="48"/>
        <v>0.25739999999999996</v>
      </c>
      <c r="J134" s="9">
        <v>11.99</v>
      </c>
      <c r="K134" s="9">
        <f>12.67-0.18</f>
        <v>12.49</v>
      </c>
      <c r="L134" s="1">
        <f>PRODUCT(Tabela_Belki_N[[#This Row],[h '[m']]],Tabela_Belki_N[[#This Row],[A '[m2']]])</f>
        <v>0.12869999999999998</v>
      </c>
      <c r="M134" s="1">
        <f>PRODUCT(Tabela_Belki_N[[#This Row],[Szt.]],Tabela_Belki_N[[#This Row],[Vj '[m3']]])</f>
        <v>0.12869999999999998</v>
      </c>
      <c r="N134" s="1"/>
      <c r="O134" s="1"/>
    </row>
    <row r="135" spans="2:15" ht="15.75" customHeight="1" x14ac:dyDescent="0.3">
      <c r="B135" t="s">
        <v>188</v>
      </c>
      <c r="C135" t="s">
        <v>368</v>
      </c>
      <c r="D135">
        <v>1</v>
      </c>
      <c r="E135" t="s">
        <v>192</v>
      </c>
      <c r="F135">
        <v>1.43</v>
      </c>
      <c r="G135">
        <v>0.18</v>
      </c>
      <c r="H135" s="1">
        <f>Tabela_Belki_N[[#This Row],[hg]]-Tabela_Belki_N[[#This Row],[hd]]</f>
        <v>0.5</v>
      </c>
      <c r="I135" s="1">
        <f t="shared" si="48"/>
        <v>0.25739999999999996</v>
      </c>
      <c r="J135" s="9">
        <v>15.09</v>
      </c>
      <c r="K135" s="9">
        <f>15.77-0.18</f>
        <v>15.59</v>
      </c>
      <c r="L135" s="1">
        <f>PRODUCT(Tabela_Belki_N[[#This Row],[h '[m']]],Tabela_Belki_N[[#This Row],[A '[m2']]])</f>
        <v>0.12869999999999998</v>
      </c>
      <c r="M135" s="1">
        <f>PRODUCT(Tabela_Belki_N[[#This Row],[Szt.]],Tabela_Belki_N[[#This Row],[Vj '[m3']]])</f>
        <v>0.12869999999999998</v>
      </c>
      <c r="N135" s="1"/>
      <c r="O135" s="1"/>
    </row>
    <row r="136" spans="2:15" ht="15.75" customHeight="1" x14ac:dyDescent="0.3">
      <c r="B136" t="s">
        <v>188</v>
      </c>
      <c r="C136" t="s">
        <v>365</v>
      </c>
      <c r="D136">
        <v>12</v>
      </c>
      <c r="E136" t="s">
        <v>193</v>
      </c>
      <c r="F136">
        <v>0.93</v>
      </c>
      <c r="G136">
        <v>0.18</v>
      </c>
      <c r="H136" s="1">
        <f>Tabela_Belki_N[[#This Row],[hg]]-Tabela_Belki_N[[#This Row],[hd]]</f>
        <v>0.5</v>
      </c>
      <c r="I136" s="1">
        <f t="shared" si="48"/>
        <v>0.16739999999999999</v>
      </c>
      <c r="J136" s="9">
        <v>5.79</v>
      </c>
      <c r="K136" s="9">
        <f>6.47-0.18</f>
        <v>6.29</v>
      </c>
      <c r="L136" s="1">
        <f>PRODUCT(Tabela_Belki_N[[#This Row],[h '[m']]],Tabela_Belki_N[[#This Row],[A '[m2']]])</f>
        <v>8.3699999999999997E-2</v>
      </c>
      <c r="M136" s="1">
        <f>PRODUCT(Tabela_Belki_N[[#This Row],[Szt.]],Tabela_Belki_N[[#This Row],[Vj '[m3']]])</f>
        <v>1.0044</v>
      </c>
      <c r="N136" s="1"/>
      <c r="O136" s="1"/>
    </row>
    <row r="137" spans="2:15" ht="15.75" customHeight="1" x14ac:dyDescent="0.3">
      <c r="B137" t="s">
        <v>188</v>
      </c>
      <c r="C137" t="s">
        <v>366</v>
      </c>
      <c r="D137">
        <v>4</v>
      </c>
      <c r="E137" t="s">
        <v>193</v>
      </c>
      <c r="F137">
        <v>0.93</v>
      </c>
      <c r="G137">
        <v>0.18</v>
      </c>
      <c r="H137" s="1">
        <f>Tabela_Belki_N[[#This Row],[hg]]-Tabela_Belki_N[[#This Row],[hd]]</f>
        <v>0.5</v>
      </c>
      <c r="I137" s="1">
        <f t="shared" ref="I137:I139" si="49">PRODUCT(F137:G137)</f>
        <v>0.16739999999999999</v>
      </c>
      <c r="J137" s="9">
        <v>8.89</v>
      </c>
      <c r="K137" s="9">
        <f>9.57-0.18</f>
        <v>9.39</v>
      </c>
      <c r="L137" s="1">
        <f>PRODUCT(Tabela_Belki_N[[#This Row],[h '[m']]],Tabela_Belki_N[[#This Row],[A '[m2']]])</f>
        <v>8.3699999999999997E-2</v>
      </c>
      <c r="M137" s="1">
        <f>PRODUCT(Tabela_Belki_N[[#This Row],[Szt.]],Tabela_Belki_N[[#This Row],[Vj '[m3']]])</f>
        <v>0.33479999999999999</v>
      </c>
      <c r="N137" s="1"/>
      <c r="O137" s="1"/>
    </row>
    <row r="138" spans="2:15" ht="15.75" customHeight="1" x14ac:dyDescent="0.3">
      <c r="B138" t="s">
        <v>188</v>
      </c>
      <c r="C138" t="s">
        <v>367</v>
      </c>
      <c r="D138">
        <v>2</v>
      </c>
      <c r="E138" t="s">
        <v>193</v>
      </c>
      <c r="F138">
        <v>0.93</v>
      </c>
      <c r="G138">
        <v>0.18</v>
      </c>
      <c r="H138" s="1">
        <f>Tabela_Belki_N[[#This Row],[hg]]-Tabela_Belki_N[[#This Row],[hd]]</f>
        <v>0.5</v>
      </c>
      <c r="I138" s="1">
        <f t="shared" si="49"/>
        <v>0.16739999999999999</v>
      </c>
      <c r="J138" s="9">
        <v>11.99</v>
      </c>
      <c r="K138" s="9">
        <f>12.67-0.18</f>
        <v>12.49</v>
      </c>
      <c r="L138" s="1">
        <f>PRODUCT(Tabela_Belki_N[[#This Row],[h '[m']]],Tabela_Belki_N[[#This Row],[A '[m2']]])</f>
        <v>8.3699999999999997E-2</v>
      </c>
      <c r="M138" s="1">
        <f>PRODUCT(Tabela_Belki_N[[#This Row],[Szt.]],Tabela_Belki_N[[#This Row],[Vj '[m3']]])</f>
        <v>0.16739999999999999</v>
      </c>
      <c r="N138" s="1"/>
      <c r="O138" s="1"/>
    </row>
    <row r="139" spans="2:15" ht="15.75" customHeight="1" x14ac:dyDescent="0.3">
      <c r="B139" t="s">
        <v>188</v>
      </c>
      <c r="C139" t="s">
        <v>368</v>
      </c>
      <c r="D139">
        <v>2</v>
      </c>
      <c r="E139" t="s">
        <v>193</v>
      </c>
      <c r="F139">
        <v>0.93</v>
      </c>
      <c r="G139">
        <v>0.18</v>
      </c>
      <c r="H139" s="1">
        <f>Tabela_Belki_N[[#This Row],[hg]]-Tabela_Belki_N[[#This Row],[hd]]</f>
        <v>0.5</v>
      </c>
      <c r="I139" s="1">
        <f t="shared" si="49"/>
        <v>0.16739999999999999</v>
      </c>
      <c r="J139" s="9">
        <v>15.09</v>
      </c>
      <c r="K139" s="9">
        <f>15.77-0.18</f>
        <v>15.59</v>
      </c>
      <c r="L139" s="1">
        <f>PRODUCT(Tabela_Belki_N[[#This Row],[h '[m']]],Tabela_Belki_N[[#This Row],[A '[m2']]])</f>
        <v>8.3699999999999997E-2</v>
      </c>
      <c r="M139" s="1">
        <f>PRODUCT(Tabela_Belki_N[[#This Row],[Szt.]],Tabela_Belki_N[[#This Row],[Vj '[m3']]])</f>
        <v>0.16739999999999999</v>
      </c>
      <c r="N139" s="1"/>
      <c r="O139" s="1"/>
    </row>
    <row r="140" spans="2:15" ht="15.75" customHeight="1" x14ac:dyDescent="0.3">
      <c r="B140" t="s">
        <v>188</v>
      </c>
      <c r="C140" t="s">
        <v>365</v>
      </c>
      <c r="D140">
        <v>3</v>
      </c>
      <c r="E140" t="s">
        <v>194</v>
      </c>
      <c r="F140">
        <v>2.73</v>
      </c>
      <c r="G140">
        <v>0.18</v>
      </c>
      <c r="H140" s="1">
        <f>Tabela_Belki_N[[#This Row],[hg]]-Tabela_Belki_N[[#This Row],[hd]]</f>
        <v>0.5</v>
      </c>
      <c r="I140" s="1">
        <f t="shared" ref="I140" si="50">PRODUCT(F140:G140)</f>
        <v>0.4914</v>
      </c>
      <c r="J140" s="9">
        <v>5.79</v>
      </c>
      <c r="K140" s="9">
        <f>6.47-0.18</f>
        <v>6.29</v>
      </c>
      <c r="L140" s="1">
        <f>PRODUCT(Tabela_Belki_N[[#This Row],[h '[m']]],Tabela_Belki_N[[#This Row],[A '[m2']]])</f>
        <v>0.2457</v>
      </c>
      <c r="M140" s="1">
        <f>PRODUCT(Tabela_Belki_N[[#This Row],[Szt.]],Tabela_Belki_N[[#This Row],[Vj '[m3']]])</f>
        <v>0.73709999999999998</v>
      </c>
      <c r="N140" s="1"/>
      <c r="O140" s="1"/>
    </row>
    <row r="141" spans="2:15" ht="15.75" customHeight="1" x14ac:dyDescent="0.3">
      <c r="B141" t="s">
        <v>188</v>
      </c>
      <c r="C141" t="s">
        <v>365</v>
      </c>
      <c r="D141">
        <v>2</v>
      </c>
      <c r="E141" t="s">
        <v>195</v>
      </c>
      <c r="F141">
        <v>2.36</v>
      </c>
      <c r="G141">
        <v>0.18</v>
      </c>
      <c r="H141" s="1">
        <f>Tabela_Belki_N[[#This Row],[hg]]-Tabela_Belki_N[[#This Row],[hd]]</f>
        <v>0.5</v>
      </c>
      <c r="I141" s="1">
        <f t="shared" ref="I141" si="51">PRODUCT(F141:G141)</f>
        <v>0.42479999999999996</v>
      </c>
      <c r="J141" s="9">
        <v>5.79</v>
      </c>
      <c r="K141" s="9">
        <f>6.47-0.18</f>
        <v>6.29</v>
      </c>
      <c r="L141" s="1">
        <f>PRODUCT(Tabela_Belki_N[[#This Row],[h '[m']]],Tabela_Belki_N[[#This Row],[A '[m2']]])</f>
        <v>0.21239999999999998</v>
      </c>
      <c r="M141" s="1">
        <f>PRODUCT(Tabela_Belki_N[[#This Row],[Szt.]],Tabela_Belki_N[[#This Row],[Vj '[m3']]])</f>
        <v>0.42479999999999996</v>
      </c>
      <c r="N141" s="1"/>
      <c r="O141" s="1"/>
    </row>
    <row r="142" spans="2:15" ht="15.75" customHeight="1" x14ac:dyDescent="0.3">
      <c r="B142" t="s">
        <v>188</v>
      </c>
      <c r="C142" t="s">
        <v>366</v>
      </c>
      <c r="D142">
        <v>1</v>
      </c>
      <c r="E142" t="s">
        <v>195</v>
      </c>
      <c r="F142">
        <v>2.36</v>
      </c>
      <c r="G142">
        <v>0.18</v>
      </c>
      <c r="H142" s="1">
        <f>Tabela_Belki_N[[#This Row],[hg]]-Tabela_Belki_N[[#This Row],[hd]]</f>
        <v>0.5</v>
      </c>
      <c r="I142" s="1">
        <f t="shared" ref="I142:I143" si="52">PRODUCT(F142:G142)</f>
        <v>0.42479999999999996</v>
      </c>
      <c r="J142" s="9">
        <v>8.89</v>
      </c>
      <c r="K142" s="9">
        <f>9.57-0.18</f>
        <v>9.39</v>
      </c>
      <c r="L142" s="1">
        <f>PRODUCT(Tabela_Belki_N[[#This Row],[h '[m']]],Tabela_Belki_N[[#This Row],[A '[m2']]])</f>
        <v>0.21239999999999998</v>
      </c>
      <c r="M142" s="1">
        <f>PRODUCT(Tabela_Belki_N[[#This Row],[Szt.]],Tabela_Belki_N[[#This Row],[Vj '[m3']]])</f>
        <v>0.21239999999999998</v>
      </c>
      <c r="N142" s="1"/>
      <c r="O142" s="1"/>
    </row>
    <row r="143" spans="2:15" ht="15.75" customHeight="1" x14ac:dyDescent="0.3">
      <c r="B143" t="s">
        <v>188</v>
      </c>
      <c r="C143" t="s">
        <v>365</v>
      </c>
      <c r="D143">
        <v>3</v>
      </c>
      <c r="E143" t="s">
        <v>196</v>
      </c>
      <c r="F143">
        <v>0.63</v>
      </c>
      <c r="G143">
        <v>0.18</v>
      </c>
      <c r="H143" s="1">
        <f>Tabela_Belki_N[[#This Row],[hg]]-Tabela_Belki_N[[#This Row],[hd]]</f>
        <v>0.5</v>
      </c>
      <c r="I143" s="1">
        <f t="shared" si="52"/>
        <v>0.1134</v>
      </c>
      <c r="J143" s="9">
        <v>5.79</v>
      </c>
      <c r="K143" s="9">
        <f>6.47-0.18</f>
        <v>6.29</v>
      </c>
      <c r="L143" s="1">
        <f>PRODUCT(Tabela_Belki_N[[#This Row],[h '[m']]],Tabela_Belki_N[[#This Row],[A '[m2']]])</f>
        <v>5.67E-2</v>
      </c>
      <c r="M143" s="1">
        <f>PRODUCT(Tabela_Belki_N[[#This Row],[Szt.]],Tabela_Belki_N[[#This Row],[Vj '[m3']]])</f>
        <v>0.1701</v>
      </c>
      <c r="N143" s="1"/>
      <c r="O143" s="1"/>
    </row>
    <row r="144" spans="2:15" ht="15.75" customHeight="1" x14ac:dyDescent="0.3">
      <c r="B144" t="s">
        <v>188</v>
      </c>
      <c r="C144" t="s">
        <v>366</v>
      </c>
      <c r="D144">
        <v>1</v>
      </c>
      <c r="E144" t="s">
        <v>196</v>
      </c>
      <c r="F144">
        <v>0.63</v>
      </c>
      <c r="G144">
        <v>0.18</v>
      </c>
      <c r="H144" s="1">
        <f>Tabela_Belki_N[[#This Row],[hg]]-Tabela_Belki_N[[#This Row],[hd]]</f>
        <v>0.5</v>
      </c>
      <c r="I144" s="1">
        <f t="shared" ref="I144:I146" si="53">PRODUCT(F144:G144)</f>
        <v>0.1134</v>
      </c>
      <c r="J144" s="9">
        <v>8.89</v>
      </c>
      <c r="K144" s="9">
        <f>9.57-0.18</f>
        <v>9.39</v>
      </c>
      <c r="L144" s="1">
        <f>PRODUCT(Tabela_Belki_N[[#This Row],[h '[m']]],Tabela_Belki_N[[#This Row],[A '[m2']]])</f>
        <v>5.67E-2</v>
      </c>
      <c r="M144" s="1">
        <f>PRODUCT(Tabela_Belki_N[[#This Row],[Szt.]],Tabela_Belki_N[[#This Row],[Vj '[m3']]])</f>
        <v>5.67E-2</v>
      </c>
      <c r="N144" s="1"/>
      <c r="O144" s="1"/>
    </row>
    <row r="145" spans="2:15" ht="15.75" customHeight="1" x14ac:dyDescent="0.3">
      <c r="B145" t="s">
        <v>188</v>
      </c>
      <c r="C145" t="s">
        <v>367</v>
      </c>
      <c r="D145">
        <v>1</v>
      </c>
      <c r="E145" t="s">
        <v>196</v>
      </c>
      <c r="F145">
        <v>0.63</v>
      </c>
      <c r="G145">
        <v>0.18</v>
      </c>
      <c r="H145" s="1">
        <f>Tabela_Belki_N[[#This Row],[hg]]-Tabela_Belki_N[[#This Row],[hd]]</f>
        <v>0.5</v>
      </c>
      <c r="I145" s="1">
        <f t="shared" si="53"/>
        <v>0.1134</v>
      </c>
      <c r="J145" s="9">
        <v>11.99</v>
      </c>
      <c r="K145" s="9">
        <f>12.67-0.18</f>
        <v>12.49</v>
      </c>
      <c r="L145" s="1">
        <f>PRODUCT(Tabela_Belki_N[[#This Row],[h '[m']]],Tabela_Belki_N[[#This Row],[A '[m2']]])</f>
        <v>5.67E-2</v>
      </c>
      <c r="M145" s="1">
        <f>PRODUCT(Tabela_Belki_N[[#This Row],[Szt.]],Tabela_Belki_N[[#This Row],[Vj '[m3']]])</f>
        <v>5.67E-2</v>
      </c>
      <c r="N145" s="1"/>
      <c r="O145" s="1"/>
    </row>
    <row r="146" spans="2:15" ht="15.75" customHeight="1" x14ac:dyDescent="0.3">
      <c r="B146" t="s">
        <v>188</v>
      </c>
      <c r="C146" t="s">
        <v>368</v>
      </c>
      <c r="D146">
        <v>1</v>
      </c>
      <c r="E146" t="s">
        <v>196</v>
      </c>
      <c r="F146">
        <v>0.63</v>
      </c>
      <c r="G146">
        <v>0.18</v>
      </c>
      <c r="H146" s="1">
        <f>Tabela_Belki_N[[#This Row],[hg]]-Tabela_Belki_N[[#This Row],[hd]]</f>
        <v>0.5</v>
      </c>
      <c r="I146" s="1">
        <f t="shared" si="53"/>
        <v>0.1134</v>
      </c>
      <c r="J146" s="9">
        <v>15.09</v>
      </c>
      <c r="K146" s="9">
        <f>15.77-0.18</f>
        <v>15.59</v>
      </c>
      <c r="L146" s="1">
        <f>PRODUCT(Tabela_Belki_N[[#This Row],[h '[m']]],Tabela_Belki_N[[#This Row],[A '[m2']]])</f>
        <v>5.67E-2</v>
      </c>
      <c r="M146" s="1">
        <f>PRODUCT(Tabela_Belki_N[[#This Row],[Szt.]],Tabela_Belki_N[[#This Row],[Vj '[m3']]])</f>
        <v>5.67E-2</v>
      </c>
      <c r="N146" s="1"/>
      <c r="O146" s="1"/>
    </row>
    <row r="147" spans="2:15" ht="15.75" customHeight="1" x14ac:dyDescent="0.3">
      <c r="B147" t="s">
        <v>188</v>
      </c>
      <c r="C147" t="s">
        <v>365</v>
      </c>
      <c r="D147">
        <v>3</v>
      </c>
      <c r="E147" t="s">
        <v>197</v>
      </c>
      <c r="F147">
        <v>1.63</v>
      </c>
      <c r="G147">
        <v>0.18</v>
      </c>
      <c r="H147" s="1">
        <f>Tabela_Belki_N[[#This Row],[hg]]-Tabela_Belki_N[[#This Row],[hd]]</f>
        <v>0.5</v>
      </c>
      <c r="I147" s="1">
        <f t="shared" ref="I147" si="54">PRODUCT(F147:G147)</f>
        <v>0.29339999999999999</v>
      </c>
      <c r="J147" s="9">
        <v>5.79</v>
      </c>
      <c r="K147" s="9">
        <f>6.47-0.18</f>
        <v>6.29</v>
      </c>
      <c r="L147" s="1">
        <f>PRODUCT(Tabela_Belki_N[[#This Row],[h '[m']]],Tabela_Belki_N[[#This Row],[A '[m2']]])</f>
        <v>0.1467</v>
      </c>
      <c r="M147" s="1">
        <f>PRODUCT(Tabela_Belki_N[[#This Row],[Szt.]],Tabela_Belki_N[[#This Row],[Vj '[m3']]])</f>
        <v>0.44009999999999999</v>
      </c>
      <c r="N147" s="1"/>
      <c r="O147" s="1"/>
    </row>
    <row r="148" spans="2:15" ht="15.75" customHeight="1" x14ac:dyDescent="0.3">
      <c r="B148" t="s">
        <v>188</v>
      </c>
      <c r="C148" t="s">
        <v>366</v>
      </c>
      <c r="D148">
        <v>1</v>
      </c>
      <c r="E148" t="s">
        <v>197</v>
      </c>
      <c r="F148">
        <v>1.63</v>
      </c>
      <c r="G148">
        <v>0.18</v>
      </c>
      <c r="H148" s="1">
        <f>Tabela_Belki_N[[#This Row],[hg]]-Tabela_Belki_N[[#This Row],[hd]]</f>
        <v>0.5</v>
      </c>
      <c r="I148" s="1">
        <f t="shared" ref="I148:I153" si="55">PRODUCT(F148:G148)</f>
        <v>0.29339999999999999</v>
      </c>
      <c r="J148" s="9">
        <v>8.89</v>
      </c>
      <c r="K148" s="9">
        <f>9.57-0.18</f>
        <v>9.39</v>
      </c>
      <c r="L148" s="1">
        <f>PRODUCT(Tabela_Belki_N[[#This Row],[h '[m']]],Tabela_Belki_N[[#This Row],[A '[m2']]])</f>
        <v>0.1467</v>
      </c>
      <c r="M148" s="1">
        <f>PRODUCT(Tabela_Belki_N[[#This Row],[Szt.]],Tabela_Belki_N[[#This Row],[Vj '[m3']]])</f>
        <v>0.1467</v>
      </c>
      <c r="N148" s="1"/>
      <c r="O148" s="1"/>
    </row>
    <row r="149" spans="2:15" ht="15.75" customHeight="1" x14ac:dyDescent="0.3">
      <c r="B149" t="s">
        <v>188</v>
      </c>
      <c r="C149" t="s">
        <v>367</v>
      </c>
      <c r="D149">
        <v>1</v>
      </c>
      <c r="E149" t="s">
        <v>197</v>
      </c>
      <c r="F149">
        <v>1.63</v>
      </c>
      <c r="G149">
        <v>0.18</v>
      </c>
      <c r="H149" s="1">
        <f>Tabela_Belki_N[[#This Row],[hg]]-Tabela_Belki_N[[#This Row],[hd]]</f>
        <v>0.5</v>
      </c>
      <c r="I149" s="1">
        <f t="shared" si="55"/>
        <v>0.29339999999999999</v>
      </c>
      <c r="J149" s="9">
        <v>11.99</v>
      </c>
      <c r="K149" s="9">
        <f>12.67-0.18</f>
        <v>12.49</v>
      </c>
      <c r="L149" s="1">
        <f>PRODUCT(Tabela_Belki_N[[#This Row],[h '[m']]],Tabela_Belki_N[[#This Row],[A '[m2']]])</f>
        <v>0.1467</v>
      </c>
      <c r="M149" s="1">
        <f>PRODUCT(Tabela_Belki_N[[#This Row],[Szt.]],Tabela_Belki_N[[#This Row],[Vj '[m3']]])</f>
        <v>0.1467</v>
      </c>
      <c r="N149" s="1"/>
      <c r="O149" s="1"/>
    </row>
    <row r="150" spans="2:15" ht="15.75" customHeight="1" x14ac:dyDescent="0.3">
      <c r="B150" t="s">
        <v>188</v>
      </c>
      <c r="C150" t="s">
        <v>368</v>
      </c>
      <c r="D150">
        <v>1</v>
      </c>
      <c r="E150" t="s">
        <v>197</v>
      </c>
      <c r="F150">
        <v>1.63</v>
      </c>
      <c r="G150">
        <v>0.18</v>
      </c>
      <c r="H150" s="1">
        <f>Tabela_Belki_N[[#This Row],[hg]]-Tabela_Belki_N[[#This Row],[hd]]</f>
        <v>0.5</v>
      </c>
      <c r="I150" s="1">
        <f t="shared" si="55"/>
        <v>0.29339999999999999</v>
      </c>
      <c r="J150" s="9">
        <v>15.09</v>
      </c>
      <c r="K150" s="9">
        <f>15.77-0.18</f>
        <v>15.59</v>
      </c>
      <c r="L150" s="1">
        <f>PRODUCT(Tabela_Belki_N[[#This Row],[h '[m']]],Tabela_Belki_N[[#This Row],[A '[m2']]])</f>
        <v>0.1467</v>
      </c>
      <c r="M150" s="1">
        <f>PRODUCT(Tabela_Belki_N[[#This Row],[Szt.]],Tabela_Belki_N[[#This Row],[Vj '[m3']]])</f>
        <v>0.1467</v>
      </c>
      <c r="N150" s="1"/>
      <c r="O150" s="1"/>
    </row>
    <row r="151" spans="2:15" ht="15.75" customHeight="1" x14ac:dyDescent="0.3">
      <c r="B151" t="s">
        <v>188</v>
      </c>
      <c r="C151" t="s">
        <v>365</v>
      </c>
      <c r="D151">
        <v>1</v>
      </c>
      <c r="E151" t="s">
        <v>191</v>
      </c>
      <c r="F151">
        <v>2.02</v>
      </c>
      <c r="G151">
        <v>0.18</v>
      </c>
      <c r="H151" s="1">
        <f>Tabela_Belki_N[[#This Row],[hg]]-Tabela_Belki_N[[#This Row],[hd]]</f>
        <v>0.5</v>
      </c>
      <c r="I151" s="1">
        <f t="shared" si="55"/>
        <v>0.36359999999999998</v>
      </c>
      <c r="J151" s="9">
        <v>5.79</v>
      </c>
      <c r="K151" s="9">
        <f t="shared" ref="K151" si="56">6.47-0.18</f>
        <v>6.29</v>
      </c>
      <c r="L151" s="1">
        <f>PRODUCT(Tabela_Belki_N[[#This Row],[h '[m']]],Tabela_Belki_N[[#This Row],[A '[m2']]])</f>
        <v>0.18179999999999999</v>
      </c>
      <c r="M151" s="1">
        <f>PRODUCT(Tabela_Belki_N[[#This Row],[Szt.]],Tabela_Belki_N[[#This Row],[Vj '[m3']]])</f>
        <v>0.18179999999999999</v>
      </c>
      <c r="N151" s="1"/>
      <c r="O151" s="1"/>
    </row>
    <row r="152" spans="2:15" ht="15.75" customHeight="1" x14ac:dyDescent="0.3">
      <c r="B152" t="s">
        <v>188</v>
      </c>
      <c r="C152" t="s">
        <v>365</v>
      </c>
      <c r="D152">
        <v>3</v>
      </c>
      <c r="E152" t="s">
        <v>242</v>
      </c>
      <c r="F152">
        <v>1.02</v>
      </c>
      <c r="G152">
        <v>0.18</v>
      </c>
      <c r="H152" s="1">
        <f>Tabela_Belki_N[[#This Row],[hg]]-Tabela_Belki_N[[#This Row],[hd]]</f>
        <v>0.24000000000000021</v>
      </c>
      <c r="I152" s="1">
        <f t="shared" si="55"/>
        <v>0.18359999999999999</v>
      </c>
      <c r="J152" s="9">
        <v>5.59</v>
      </c>
      <c r="K152" s="9">
        <f>5.59+0.24</f>
        <v>5.83</v>
      </c>
      <c r="L152" s="1">
        <f>PRODUCT(Tabela_Belki_N[[#This Row],[h '[m']]],Tabela_Belki_N[[#This Row],[A '[m2']]])</f>
        <v>4.4064000000000034E-2</v>
      </c>
      <c r="M152" s="1">
        <f>PRODUCT(Tabela_Belki_N[[#This Row],[Szt.]],Tabela_Belki_N[[#This Row],[Vj '[m3']]])</f>
        <v>0.13219200000000009</v>
      </c>
      <c r="N152" s="1" t="s">
        <v>244</v>
      </c>
      <c r="O152" s="1"/>
    </row>
    <row r="153" spans="2:15" ht="15.75" customHeight="1" x14ac:dyDescent="0.3">
      <c r="B153" t="s">
        <v>188</v>
      </c>
      <c r="C153" t="s">
        <v>366</v>
      </c>
      <c r="D153">
        <v>4</v>
      </c>
      <c r="E153" t="s">
        <v>242</v>
      </c>
      <c r="F153">
        <v>1.02</v>
      </c>
      <c r="G153">
        <v>0.18</v>
      </c>
      <c r="H153" s="1">
        <f>Tabela_Belki_N[[#This Row],[hg]]-Tabela_Belki_N[[#This Row],[hd]]</f>
        <v>0.24000000000000021</v>
      </c>
      <c r="I153" s="1">
        <f t="shared" si="55"/>
        <v>0.18359999999999999</v>
      </c>
      <c r="J153" s="9">
        <v>8.69</v>
      </c>
      <c r="K153" s="9">
        <f>8.69+0.24</f>
        <v>8.93</v>
      </c>
      <c r="L153" s="1">
        <f>PRODUCT(Tabela_Belki_N[[#This Row],[h '[m']]],Tabela_Belki_N[[#This Row],[A '[m2']]])</f>
        <v>4.4064000000000034E-2</v>
      </c>
      <c r="M153" s="1">
        <f>PRODUCT(Tabela_Belki_N[[#This Row],[Szt.]],Tabela_Belki_N[[#This Row],[Vj '[m3']]])</f>
        <v>0.17625600000000013</v>
      </c>
      <c r="N153" s="1" t="s">
        <v>244</v>
      </c>
      <c r="O153" s="1"/>
    </row>
    <row r="154" spans="2:15" ht="15.75" customHeight="1" x14ac:dyDescent="0.3">
      <c r="B154" t="s">
        <v>188</v>
      </c>
      <c r="C154" t="s">
        <v>367</v>
      </c>
      <c r="D154">
        <v>4</v>
      </c>
      <c r="E154" t="s">
        <v>242</v>
      </c>
      <c r="F154">
        <v>1.02</v>
      </c>
      <c r="G154">
        <v>0.18</v>
      </c>
      <c r="H154" s="1">
        <f>Tabela_Belki_N[[#This Row],[hg]]-Tabela_Belki_N[[#This Row],[hd]]</f>
        <v>0.24000000000000021</v>
      </c>
      <c r="I154" s="1">
        <f>PRODUCT(F154:G154)</f>
        <v>0.18359999999999999</v>
      </c>
      <c r="J154" s="9">
        <v>11.79</v>
      </c>
      <c r="K154" s="9">
        <f>11.79+0.24</f>
        <v>12.03</v>
      </c>
      <c r="L154" s="1">
        <f>PRODUCT(Tabela_Belki_N[[#This Row],[h '[m']]],Tabela_Belki_N[[#This Row],[A '[m2']]])</f>
        <v>4.4064000000000034E-2</v>
      </c>
      <c r="M154" s="1">
        <f>PRODUCT(Tabela_Belki_N[[#This Row],[Szt.]],Tabela_Belki_N[[#This Row],[Vj '[m3']]])</f>
        <v>0.17625600000000013</v>
      </c>
      <c r="N154" s="1" t="s">
        <v>244</v>
      </c>
      <c r="O154" s="1"/>
    </row>
    <row r="155" spans="2:15" ht="15.75" customHeight="1" x14ac:dyDescent="0.3">
      <c r="B155" t="s">
        <v>188</v>
      </c>
      <c r="C155" t="s">
        <v>368</v>
      </c>
      <c r="D155">
        <v>4</v>
      </c>
      <c r="E155" t="s">
        <v>242</v>
      </c>
      <c r="F155">
        <v>1.02</v>
      </c>
      <c r="G155">
        <v>0.18</v>
      </c>
      <c r="H155" s="1">
        <f>Tabela_Belki_N[[#This Row],[hg]]-Tabela_Belki_N[[#This Row],[hd]]</f>
        <v>0.24000000000000021</v>
      </c>
      <c r="I155" s="1">
        <f>PRODUCT(F155:G155)</f>
        <v>0.18359999999999999</v>
      </c>
      <c r="J155" s="9">
        <v>14.89</v>
      </c>
      <c r="K155" s="9">
        <f>14.89+0.24</f>
        <v>15.13</v>
      </c>
      <c r="L155" s="1">
        <f>PRODUCT(Tabela_Belki_N[[#This Row],[h '[m']]],Tabela_Belki_N[[#This Row],[A '[m2']]])</f>
        <v>4.4064000000000034E-2</v>
      </c>
      <c r="M155" s="1">
        <f>PRODUCT(Tabela_Belki_N[[#This Row],[Szt.]],Tabela_Belki_N[[#This Row],[Vj '[m3']]])</f>
        <v>0.17625600000000013</v>
      </c>
      <c r="N155" s="1" t="s">
        <v>244</v>
      </c>
      <c r="O155" s="1"/>
    </row>
    <row r="159" spans="2:15" x14ac:dyDescent="0.3">
      <c r="C159" s="2" t="s">
        <v>67</v>
      </c>
      <c r="D159" t="s">
        <v>255</v>
      </c>
      <c r="E159" t="s">
        <v>69</v>
      </c>
    </row>
    <row r="160" spans="2:15" x14ac:dyDescent="0.3">
      <c r="C160" s="3" t="s">
        <v>225</v>
      </c>
      <c r="D160">
        <v>87</v>
      </c>
      <c r="E160" s="11">
        <v>10.244655</v>
      </c>
    </row>
    <row r="161" spans="3:5" x14ac:dyDescent="0.3">
      <c r="C161" s="4" t="s">
        <v>180</v>
      </c>
      <c r="D161">
        <v>13</v>
      </c>
      <c r="E161" s="11">
        <v>1.658780999999999</v>
      </c>
    </row>
    <row r="162" spans="3:5" x14ac:dyDescent="0.3">
      <c r="C162" s="4" t="s">
        <v>188</v>
      </c>
      <c r="D162">
        <v>54</v>
      </c>
      <c r="E162" s="11">
        <v>6.8013719999999998</v>
      </c>
    </row>
    <row r="163" spans="3:5" x14ac:dyDescent="0.3">
      <c r="C163" s="4" t="s">
        <v>181</v>
      </c>
      <c r="D163">
        <v>16</v>
      </c>
      <c r="E163" s="11">
        <v>1.2902400000000014</v>
      </c>
    </row>
    <row r="164" spans="3:5" x14ac:dyDescent="0.3">
      <c r="C164" s="4" t="s">
        <v>187</v>
      </c>
      <c r="D164">
        <v>4</v>
      </c>
      <c r="E164" s="11">
        <v>0.49426200000000087</v>
      </c>
    </row>
    <row r="165" spans="3:5" x14ac:dyDescent="0.3">
      <c r="C165" s="3" t="s">
        <v>226</v>
      </c>
      <c r="D165">
        <v>93</v>
      </c>
      <c r="E165" s="11">
        <v>17.140023000000049</v>
      </c>
    </row>
    <row r="166" spans="3:5" x14ac:dyDescent="0.3">
      <c r="C166" s="4" t="s">
        <v>180</v>
      </c>
      <c r="D166">
        <v>13</v>
      </c>
      <c r="E166" s="11">
        <v>1.7370270000000025</v>
      </c>
    </row>
    <row r="167" spans="3:5" x14ac:dyDescent="0.3">
      <c r="C167" s="4" t="s">
        <v>188</v>
      </c>
      <c r="D167">
        <v>15</v>
      </c>
      <c r="E167" s="11">
        <v>1.4263560000000002</v>
      </c>
    </row>
    <row r="168" spans="3:5" x14ac:dyDescent="0.3">
      <c r="C168" s="4" t="s">
        <v>181</v>
      </c>
      <c r="D168">
        <v>61</v>
      </c>
      <c r="E168" s="11">
        <v>13.254876000000047</v>
      </c>
    </row>
    <row r="169" spans="3:5" x14ac:dyDescent="0.3">
      <c r="C169" s="4" t="s">
        <v>187</v>
      </c>
      <c r="D169">
        <v>4</v>
      </c>
      <c r="E169" s="11">
        <v>0.72176399999999941</v>
      </c>
    </row>
    <row r="170" spans="3:5" x14ac:dyDescent="0.3">
      <c r="C170" s="3" t="s">
        <v>243</v>
      </c>
      <c r="D170">
        <v>88</v>
      </c>
      <c r="E170" s="11">
        <v>17.649207000000054</v>
      </c>
    </row>
    <row r="171" spans="3:5" x14ac:dyDescent="0.3">
      <c r="C171" s="4" t="s">
        <v>180</v>
      </c>
      <c r="D171">
        <v>13</v>
      </c>
      <c r="E171" s="11">
        <v>1.7370270000000025</v>
      </c>
    </row>
    <row r="172" spans="3:5" x14ac:dyDescent="0.3">
      <c r="C172" s="4" t="s">
        <v>188</v>
      </c>
      <c r="D172">
        <v>10</v>
      </c>
      <c r="E172" s="11">
        <v>0.78915600000000041</v>
      </c>
    </row>
    <row r="173" spans="3:5" x14ac:dyDescent="0.3">
      <c r="C173" s="4" t="s">
        <v>181</v>
      </c>
      <c r="D173">
        <v>61</v>
      </c>
      <c r="E173" s="11">
        <v>14.40126000000005</v>
      </c>
    </row>
    <row r="174" spans="3:5" x14ac:dyDescent="0.3">
      <c r="C174" s="4" t="s">
        <v>187</v>
      </c>
      <c r="D174">
        <v>4</v>
      </c>
      <c r="E174" s="11">
        <v>0.72176400000000152</v>
      </c>
    </row>
    <row r="175" spans="3:5" x14ac:dyDescent="0.3">
      <c r="C175" s="3" t="s">
        <v>245</v>
      </c>
      <c r="D175">
        <v>88</v>
      </c>
      <c r="E175" s="11">
        <v>17.201366999999955</v>
      </c>
    </row>
    <row r="176" spans="3:5" x14ac:dyDescent="0.3">
      <c r="C176" s="4" t="s">
        <v>180</v>
      </c>
      <c r="D176">
        <v>10</v>
      </c>
      <c r="E176" s="11">
        <v>0.83348100000000069</v>
      </c>
    </row>
    <row r="177" spans="3:5" x14ac:dyDescent="0.3">
      <c r="C177" s="4" t="s">
        <v>188</v>
      </c>
      <c r="D177">
        <v>10</v>
      </c>
      <c r="E177" s="11">
        <v>0.78915599999999997</v>
      </c>
    </row>
    <row r="178" spans="3:5" x14ac:dyDescent="0.3">
      <c r="C178" s="4" t="s">
        <v>256</v>
      </c>
      <c r="D178">
        <v>6</v>
      </c>
      <c r="E178" s="11">
        <v>1.0327500000000001</v>
      </c>
    </row>
    <row r="179" spans="3:5" x14ac:dyDescent="0.3">
      <c r="C179" s="4" t="s">
        <v>181</v>
      </c>
      <c r="D179">
        <v>61</v>
      </c>
      <c r="E179" s="11">
        <v>14.362379999999957</v>
      </c>
    </row>
    <row r="180" spans="3:5" x14ac:dyDescent="0.3">
      <c r="C180" s="4" t="s">
        <v>187</v>
      </c>
      <c r="D180">
        <v>1</v>
      </c>
      <c r="E180" s="11">
        <v>0.18359999999999999</v>
      </c>
    </row>
    <row r="181" spans="3:5" x14ac:dyDescent="0.3">
      <c r="C181" s="3" t="s">
        <v>285</v>
      </c>
      <c r="E181" s="11">
        <v>33.75702000000004</v>
      </c>
    </row>
    <row r="182" spans="3:5" x14ac:dyDescent="0.3">
      <c r="C182" s="4" t="s">
        <v>186</v>
      </c>
      <c r="E182" s="11">
        <v>33.75702000000004</v>
      </c>
    </row>
    <row r="183" spans="3:5" x14ac:dyDescent="0.3">
      <c r="C183" s="3" t="s">
        <v>68</v>
      </c>
      <c r="D183">
        <v>356</v>
      </c>
      <c r="E183" s="11">
        <v>95.992272000000099</v>
      </c>
    </row>
  </sheetData>
  <phoneticPr fontId="1" type="noConversion"/>
  <pageMargins left="0.7" right="0.7" top="0.75" bottom="0.75" header="0.3" footer="0.3"/>
  <pageSetup paperSize="9" orientation="portrait" verticalDpi="0" r:id="rId2"/>
  <ignoredErrors>
    <ignoredError sqref="K140 K141" formula="1"/>
  </ignoredErrors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B117-C9D0-4E37-9012-2D62D2533C42}">
  <dimension ref="B3:O77"/>
  <sheetViews>
    <sheetView topLeftCell="A22" zoomScaleNormal="100" workbookViewId="0">
      <selection activeCell="C11" sqref="C11:C59"/>
    </sheetView>
  </sheetViews>
  <sheetFormatPr defaultRowHeight="14.4" x14ac:dyDescent="0.3"/>
  <cols>
    <col min="2" max="2" width="17.88671875" bestFit="1" customWidth="1"/>
    <col min="3" max="4" width="17.88671875" customWidth="1"/>
    <col min="5" max="5" width="21" bestFit="1" customWidth="1"/>
    <col min="6" max="6" width="10.44140625" bestFit="1" customWidth="1"/>
    <col min="7" max="7" width="13.21875" bestFit="1" customWidth="1"/>
    <col min="8" max="8" width="13.5546875" bestFit="1" customWidth="1"/>
    <col min="9" max="9" width="16" customWidth="1"/>
    <col min="10" max="10" width="7.5546875" customWidth="1"/>
    <col min="12" max="12" width="10" customWidth="1"/>
    <col min="13" max="13" width="13.5546875" customWidth="1"/>
    <col min="14" max="14" width="14.5546875" customWidth="1"/>
  </cols>
  <sheetData>
    <row r="3" spans="2:15" x14ac:dyDescent="0.3">
      <c r="B3" s="6" t="s">
        <v>284</v>
      </c>
      <c r="C3" s="6"/>
      <c r="D3" s="6"/>
      <c r="E3" s="7"/>
      <c r="F3" s="7"/>
      <c r="G3" s="7"/>
    </row>
    <row r="4" spans="2:15" x14ac:dyDescent="0.3">
      <c r="B4" t="s">
        <v>281</v>
      </c>
    </row>
    <row r="6" spans="2:15" x14ac:dyDescent="0.3">
      <c r="B6" t="s">
        <v>279</v>
      </c>
    </row>
    <row r="7" spans="2:15" x14ac:dyDescent="0.3">
      <c r="B7" t="s">
        <v>280</v>
      </c>
    </row>
    <row r="10" spans="2:15" ht="15.75" customHeight="1" x14ac:dyDescent="0.3">
      <c r="B10" t="s">
        <v>18</v>
      </c>
      <c r="C10" t="s">
        <v>222</v>
      </c>
      <c r="D10" t="s">
        <v>221</v>
      </c>
      <c r="E10" t="s">
        <v>4</v>
      </c>
      <c r="F10" t="s">
        <v>26</v>
      </c>
      <c r="G10" t="s">
        <v>25</v>
      </c>
      <c r="H10" t="s">
        <v>27</v>
      </c>
      <c r="I10" t="s">
        <v>82</v>
      </c>
      <c r="J10" t="s">
        <v>24</v>
      </c>
      <c r="K10" t="s">
        <v>83</v>
      </c>
      <c r="L10" t="s">
        <v>38</v>
      </c>
      <c r="M10" t="s">
        <v>309</v>
      </c>
      <c r="N10" t="s">
        <v>28</v>
      </c>
      <c r="O10" t="s">
        <v>72</v>
      </c>
    </row>
    <row r="11" spans="2:15" x14ac:dyDescent="0.3">
      <c r="B11" t="s">
        <v>166</v>
      </c>
      <c r="C11" t="s">
        <v>365</v>
      </c>
      <c r="D11">
        <v>1</v>
      </c>
      <c r="E11" t="s">
        <v>270</v>
      </c>
      <c r="H11" s="1">
        <f>Tabela_Stropy_N[[#This Row],[hg]]-Tabela_Stropy_N[[#This Row],[hd]]</f>
        <v>0.17999999999999972</v>
      </c>
      <c r="I11" s="1"/>
      <c r="J11" s="1">
        <v>319.62</v>
      </c>
      <c r="K11" s="1">
        <v>6.29</v>
      </c>
      <c r="L11" s="1">
        <v>6.47</v>
      </c>
      <c r="M11" s="1">
        <f>PRODUCT(Tabela_Stropy_N[[#This Row],[A '[m2']]]*Tabela_Stropy_N[[#This Row],[h '[m']]])</f>
        <v>57.531599999999912</v>
      </c>
      <c r="N11" s="1">
        <f>PRODUCT(Tabela_Stropy_N[[#This Row],[Szt.]],Tabela_Stropy_N[[#This Row],[Vj '[m3']]])</f>
        <v>57.531599999999912</v>
      </c>
      <c r="O11" s="1"/>
    </row>
    <row r="12" spans="2:15" x14ac:dyDescent="0.3">
      <c r="B12" t="s">
        <v>166</v>
      </c>
      <c r="C12" t="s">
        <v>365</v>
      </c>
      <c r="D12">
        <v>1</v>
      </c>
      <c r="E12" t="s">
        <v>271</v>
      </c>
      <c r="H12" s="1">
        <f>Tabela_Stropy_N[[#This Row],[hg]]-Tabela_Stropy_N[[#This Row],[hd]]</f>
        <v>0.17999999999999972</v>
      </c>
      <c r="I12" s="1"/>
      <c r="J12" s="1">
        <v>743.34</v>
      </c>
      <c r="K12" s="1">
        <v>6.29</v>
      </c>
      <c r="L12" s="1">
        <v>6.47</v>
      </c>
      <c r="M12" s="1">
        <f>PRODUCT(Tabela_Stropy_N[[#This Row],[A '[m2']]]*Tabela_Stropy_N[[#This Row],[h '[m']]])</f>
        <v>133.8011999999998</v>
      </c>
      <c r="N12" s="1">
        <f>PRODUCT(Tabela_Stropy_N[[#This Row],[Szt.]],Tabela_Stropy_N[[#This Row],[Vj '[m3']]])</f>
        <v>133.8011999999998</v>
      </c>
      <c r="O12" s="1"/>
    </row>
    <row r="13" spans="2:15" x14ac:dyDescent="0.3">
      <c r="B13" t="s">
        <v>166</v>
      </c>
      <c r="C13" t="s">
        <v>365</v>
      </c>
      <c r="E13" t="s">
        <v>270</v>
      </c>
      <c r="F13">
        <v>-2.8450000000000002</v>
      </c>
      <c r="G13">
        <v>2.085</v>
      </c>
      <c r="H13" s="1">
        <f>Tabela_Stropy_N[[#This Row],[hg]]-Tabela_Stropy_N[[#This Row],[hd]]</f>
        <v>0.17999999999999972</v>
      </c>
      <c r="I13" s="1" t="s">
        <v>272</v>
      </c>
      <c r="J13" s="1">
        <f t="shared" ref="J13:J14" si="0">PRODUCT(F13:G13)</f>
        <v>-5.9318249999999999</v>
      </c>
      <c r="K13" s="1">
        <v>6.29</v>
      </c>
      <c r="L13" s="1">
        <v>6.47</v>
      </c>
      <c r="M13" s="1">
        <f>PRODUCT(Tabela_Stropy_N[[#This Row],[A '[m2']]]*Tabela_Stropy_N[[#This Row],[h '[m']]])</f>
        <v>-1.0677284999999983</v>
      </c>
      <c r="N13" s="1">
        <f>PRODUCT(Tabela_Stropy_N[[#This Row],[Szt.]],Tabela_Stropy_N[[#This Row],[Vj '[m3']]])</f>
        <v>-1.0677284999999983</v>
      </c>
      <c r="O13" s="1"/>
    </row>
    <row r="14" spans="2:15" x14ac:dyDescent="0.3">
      <c r="B14" t="s">
        <v>166</v>
      </c>
      <c r="C14" t="s">
        <v>365</v>
      </c>
      <c r="E14" t="s">
        <v>270</v>
      </c>
      <c r="F14">
        <v>-3.9750000000000001</v>
      </c>
      <c r="G14">
        <v>2.61</v>
      </c>
      <c r="H14" s="1">
        <f>Tabela_Stropy_N[[#This Row],[hg]]-Tabela_Stropy_N[[#This Row],[hd]]</f>
        <v>0.17999999999999972</v>
      </c>
      <c r="I14" s="1" t="s">
        <v>273</v>
      </c>
      <c r="J14" s="1">
        <f t="shared" si="0"/>
        <v>-10.374750000000001</v>
      </c>
      <c r="K14" s="1">
        <v>6.29</v>
      </c>
      <c r="L14" s="1">
        <v>6.47</v>
      </c>
      <c r="M14" s="1">
        <f>PRODUCT(Tabela_Stropy_N[[#This Row],[A '[m2']]]*Tabela_Stropy_N[[#This Row],[h '[m']]])</f>
        <v>-1.8674549999999972</v>
      </c>
      <c r="N14" s="1">
        <f>PRODUCT(Tabela_Stropy_N[[#This Row],[Szt.]],Tabela_Stropy_N[[#This Row],[Vj '[m3']]])</f>
        <v>-1.8674549999999972</v>
      </c>
      <c r="O14" s="1"/>
    </row>
    <row r="15" spans="2:15" x14ac:dyDescent="0.3">
      <c r="B15" t="s">
        <v>166</v>
      </c>
      <c r="C15" t="s">
        <v>365</v>
      </c>
      <c r="E15" t="s">
        <v>271</v>
      </c>
      <c r="F15">
        <v>-2.8450000000000002</v>
      </c>
      <c r="G15">
        <v>2.085</v>
      </c>
      <c r="H15" s="1">
        <f>Tabela_Stropy_N[[#This Row],[hg]]-Tabela_Stropy_N[[#This Row],[hd]]</f>
        <v>0.17999999999999972</v>
      </c>
      <c r="I15" s="1" t="s">
        <v>272</v>
      </c>
      <c r="J15" s="1">
        <f t="shared" ref="J15:J16" si="1">PRODUCT(F15:G15)</f>
        <v>-5.9318249999999999</v>
      </c>
      <c r="K15" s="1">
        <v>6.29</v>
      </c>
      <c r="L15" s="1">
        <v>6.47</v>
      </c>
      <c r="M15" s="1">
        <f>PRODUCT(Tabela_Stropy_N[[#This Row],[A '[m2']]]*Tabela_Stropy_N[[#This Row],[h '[m']]])</f>
        <v>-1.0677284999999983</v>
      </c>
      <c r="N15" s="1">
        <f>PRODUCT(Tabela_Stropy_N[[#This Row],[Szt.]],Tabela_Stropy_N[[#This Row],[Vj '[m3']]])</f>
        <v>-1.0677284999999983</v>
      </c>
      <c r="O15" s="1"/>
    </row>
    <row r="16" spans="2:15" x14ac:dyDescent="0.3">
      <c r="B16" t="s">
        <v>166</v>
      </c>
      <c r="C16" t="s">
        <v>365</v>
      </c>
      <c r="E16" t="s">
        <v>271</v>
      </c>
      <c r="F16">
        <v>-3.98</v>
      </c>
      <c r="G16">
        <v>2.61</v>
      </c>
      <c r="H16" s="1">
        <f>Tabela_Stropy_N[[#This Row],[hg]]-Tabela_Stropy_N[[#This Row],[hd]]</f>
        <v>0.17999999999999972</v>
      </c>
      <c r="I16" s="1" t="s">
        <v>273</v>
      </c>
      <c r="J16" s="1">
        <f t="shared" si="1"/>
        <v>-10.387799999999999</v>
      </c>
      <c r="K16" s="1">
        <v>6.29</v>
      </c>
      <c r="L16" s="1">
        <v>6.47</v>
      </c>
      <c r="M16" s="1">
        <f>PRODUCT(Tabela_Stropy_N[[#This Row],[A '[m2']]]*Tabela_Stropy_N[[#This Row],[h '[m']]])</f>
        <v>-1.8698039999999967</v>
      </c>
      <c r="N16" s="1">
        <f>PRODUCT(Tabela_Stropy_N[[#This Row],[Szt.]],Tabela_Stropy_N[[#This Row],[Vj '[m3']]])</f>
        <v>-1.8698039999999967</v>
      </c>
      <c r="O16" s="1"/>
    </row>
    <row r="17" spans="2:15" x14ac:dyDescent="0.3">
      <c r="B17" t="s">
        <v>166</v>
      </c>
      <c r="C17" t="s">
        <v>365</v>
      </c>
      <c r="E17" t="s">
        <v>271</v>
      </c>
      <c r="F17">
        <v>-2.9</v>
      </c>
      <c r="G17">
        <v>2.085</v>
      </c>
      <c r="H17" s="1">
        <f>Tabela_Stropy_N[[#This Row],[hg]]-Tabela_Stropy_N[[#This Row],[hd]]</f>
        <v>0.17999999999999972</v>
      </c>
      <c r="I17" s="1" t="s">
        <v>272</v>
      </c>
      <c r="J17" s="1">
        <f t="shared" ref="J17:J18" si="2">PRODUCT(F17:G17)</f>
        <v>-6.0465</v>
      </c>
      <c r="K17" s="1">
        <v>6.29</v>
      </c>
      <c r="L17" s="1">
        <v>6.47</v>
      </c>
      <c r="M17" s="1">
        <f>PRODUCT(Tabela_Stropy_N[[#This Row],[A '[m2']]]*Tabela_Stropy_N[[#This Row],[h '[m']]])</f>
        <v>-1.0883699999999983</v>
      </c>
      <c r="N17" s="1">
        <f>PRODUCT(Tabela_Stropy_N[[#This Row],[Szt.]],Tabela_Stropy_N[[#This Row],[Vj '[m3']]])</f>
        <v>-1.0883699999999983</v>
      </c>
      <c r="O17" s="1"/>
    </row>
    <row r="18" spans="2:15" x14ac:dyDescent="0.3">
      <c r="B18" t="s">
        <v>166</v>
      </c>
      <c r="C18" t="s">
        <v>365</v>
      </c>
      <c r="E18" t="s">
        <v>271</v>
      </c>
      <c r="F18">
        <v>-3.98</v>
      </c>
      <c r="G18">
        <v>2.61</v>
      </c>
      <c r="H18" s="1">
        <f>Tabela_Stropy_N[[#This Row],[hg]]-Tabela_Stropy_N[[#This Row],[hd]]</f>
        <v>0.17999999999999972</v>
      </c>
      <c r="I18" s="1" t="s">
        <v>273</v>
      </c>
      <c r="J18" s="1">
        <f t="shared" si="2"/>
        <v>-10.387799999999999</v>
      </c>
      <c r="K18" s="1">
        <v>6.29</v>
      </c>
      <c r="L18" s="1">
        <v>6.47</v>
      </c>
      <c r="M18" s="1">
        <f>PRODUCT(Tabela_Stropy_N[[#This Row],[A '[m2']]]*Tabela_Stropy_N[[#This Row],[h '[m']]])</f>
        <v>-1.8698039999999967</v>
      </c>
      <c r="N18" s="1">
        <f>PRODUCT(Tabela_Stropy_N[[#This Row],[Szt.]],Tabela_Stropy_N[[#This Row],[Vj '[m3']]])</f>
        <v>-1.8698039999999967</v>
      </c>
      <c r="O18" s="1"/>
    </row>
    <row r="19" spans="2:15" x14ac:dyDescent="0.3">
      <c r="B19" t="s">
        <v>277</v>
      </c>
      <c r="C19" t="s">
        <v>365</v>
      </c>
      <c r="D19">
        <v>6</v>
      </c>
      <c r="E19" t="s">
        <v>158</v>
      </c>
      <c r="F19">
        <v>1.92</v>
      </c>
      <c r="G19">
        <v>1.36</v>
      </c>
      <c r="H19" s="1">
        <f>Tabela_Stropy_N[[#This Row],[hg]]-Tabela_Stropy_N[[#This Row],[hd]]</f>
        <v>0.16999999999999993</v>
      </c>
      <c r="I19" s="1"/>
      <c r="J19" s="1">
        <f t="shared" ref="J19:J23" si="3">PRODUCT(F19:G19)</f>
        <v>2.6112000000000002</v>
      </c>
      <c r="K19" s="1">
        <v>6.29</v>
      </c>
      <c r="L19" s="1">
        <f>AVERAGE(6.47,6.45)</f>
        <v>6.46</v>
      </c>
      <c r="M19" s="1">
        <f>PRODUCT(Tabela_Stropy_N[[#This Row],[A '[m2']]]*Tabela_Stropy_N[[#This Row],[h '[m']]])</f>
        <v>0.44390399999999985</v>
      </c>
      <c r="N19" s="1">
        <f>PRODUCT(Tabela_Stropy_N[[#This Row],[Szt.]],Tabela_Stropy_N[[#This Row],[Vj '[m3']]])</f>
        <v>2.6634239999999991</v>
      </c>
      <c r="O19" s="1"/>
    </row>
    <row r="20" spans="2:15" x14ac:dyDescent="0.3">
      <c r="B20" t="s">
        <v>277</v>
      </c>
      <c r="C20" t="s">
        <v>365</v>
      </c>
      <c r="D20">
        <v>2</v>
      </c>
      <c r="E20" t="s">
        <v>274</v>
      </c>
      <c r="F20">
        <v>4.1900000000000004</v>
      </c>
      <c r="G20">
        <v>1.41</v>
      </c>
      <c r="H20" s="1">
        <f>Tabela_Stropy_N[[#This Row],[hg]]-Tabela_Stropy_N[[#This Row],[hd]]</f>
        <v>0.16999999999999993</v>
      </c>
      <c r="I20" s="1"/>
      <c r="J20" s="1">
        <f t="shared" si="3"/>
        <v>5.9079000000000006</v>
      </c>
      <c r="K20" s="1">
        <v>6.29</v>
      </c>
      <c r="L20" s="1">
        <f t="shared" ref="L20:L23" si="4">AVERAGE(6.47,6.45)</f>
        <v>6.46</v>
      </c>
      <c r="M20" s="1">
        <f>PRODUCT(Tabela_Stropy_N[[#This Row],[A '[m2']]]*Tabela_Stropy_N[[#This Row],[h '[m']]])</f>
        <v>1.0043429999999998</v>
      </c>
      <c r="N20" s="1">
        <f>PRODUCT(Tabela_Stropy_N[[#This Row],[Szt.]],Tabela_Stropy_N[[#This Row],[Vj '[m3']]])</f>
        <v>2.0086859999999995</v>
      </c>
      <c r="O20" s="1"/>
    </row>
    <row r="21" spans="2:15" x14ac:dyDescent="0.3">
      <c r="B21" t="s">
        <v>277</v>
      </c>
      <c r="C21" t="s">
        <v>365</v>
      </c>
      <c r="D21">
        <v>6</v>
      </c>
      <c r="E21" t="s">
        <v>275</v>
      </c>
      <c r="F21">
        <v>1.72</v>
      </c>
      <c r="G21">
        <v>1.36</v>
      </c>
      <c r="H21" s="1">
        <f>Tabela_Stropy_N[[#This Row],[hg]]-Tabela_Stropy_N[[#This Row],[hd]]</f>
        <v>0.16999999999999993</v>
      </c>
      <c r="I21" s="1"/>
      <c r="J21" s="1">
        <f t="shared" si="3"/>
        <v>2.3391999999999999</v>
      </c>
      <c r="K21" s="1">
        <v>6.29</v>
      </c>
      <c r="L21" s="1">
        <f t="shared" si="4"/>
        <v>6.46</v>
      </c>
      <c r="M21" s="1">
        <f>PRODUCT(Tabela_Stropy_N[[#This Row],[A '[m2']]]*Tabela_Stropy_N[[#This Row],[h '[m']]])</f>
        <v>0.39766399999999985</v>
      </c>
      <c r="N21" s="1">
        <f>PRODUCT(Tabela_Stropy_N[[#This Row],[Szt.]],Tabela_Stropy_N[[#This Row],[Vj '[m3']]])</f>
        <v>2.3859839999999992</v>
      </c>
      <c r="O21" s="1"/>
    </row>
    <row r="22" spans="2:15" x14ac:dyDescent="0.3">
      <c r="B22" t="s">
        <v>277</v>
      </c>
      <c r="C22" t="s">
        <v>365</v>
      </c>
      <c r="D22">
        <v>1</v>
      </c>
      <c r="E22" t="s">
        <v>276</v>
      </c>
      <c r="F22">
        <f>AVERAGE(6.15,6.42)</f>
        <v>6.2850000000000001</v>
      </c>
      <c r="G22">
        <v>1.41</v>
      </c>
      <c r="H22" s="1">
        <f>Tabela_Stropy_N[[#This Row],[hg]]-Tabela_Stropy_N[[#This Row],[hd]]</f>
        <v>0.16999999999999993</v>
      </c>
      <c r="I22" s="1"/>
      <c r="J22" s="1">
        <f t="shared" si="3"/>
        <v>8.8618500000000004</v>
      </c>
      <c r="K22" s="1">
        <v>6.29</v>
      </c>
      <c r="L22" s="1">
        <f t="shared" si="4"/>
        <v>6.46</v>
      </c>
      <c r="M22" s="1">
        <f>PRODUCT(Tabela_Stropy_N[[#This Row],[A '[m2']]]*Tabela_Stropy_N[[#This Row],[h '[m']]])</f>
        <v>1.5065144999999995</v>
      </c>
      <c r="N22" s="1">
        <f>PRODUCT(Tabela_Stropy_N[[#This Row],[Szt.]],Tabela_Stropy_N[[#This Row],[Vj '[m3']]])</f>
        <v>1.5065144999999995</v>
      </c>
      <c r="O22" s="1"/>
    </row>
    <row r="23" spans="2:15" x14ac:dyDescent="0.3">
      <c r="B23" t="s">
        <v>277</v>
      </c>
      <c r="C23" t="s">
        <v>365</v>
      </c>
      <c r="D23">
        <v>1</v>
      </c>
      <c r="E23" t="s">
        <v>278</v>
      </c>
      <c r="F23">
        <f>AVERAGE(5.93,6.22)</f>
        <v>6.0749999999999993</v>
      </c>
      <c r="G23">
        <v>1.6</v>
      </c>
      <c r="H23" s="1">
        <f>Tabela_Stropy_N[[#This Row],[hg]]-Tabela_Stropy_N[[#This Row],[hd]]</f>
        <v>0.16999999999999993</v>
      </c>
      <c r="I23" s="1"/>
      <c r="J23" s="1">
        <f t="shared" si="3"/>
        <v>9.7199999999999989</v>
      </c>
      <c r="K23" s="1">
        <v>6.29</v>
      </c>
      <c r="L23" s="1">
        <f t="shared" si="4"/>
        <v>6.46</v>
      </c>
      <c r="M23" s="1">
        <f>PRODUCT(Tabela_Stropy_N[[#This Row],[A '[m2']]]*Tabela_Stropy_N[[#This Row],[h '[m']]])</f>
        <v>1.6523999999999992</v>
      </c>
      <c r="N23" s="1">
        <f>PRODUCT(Tabela_Stropy_N[[#This Row],[Szt.]],Tabela_Stropy_N[[#This Row],[Vj '[m3']]])</f>
        <v>1.6523999999999992</v>
      </c>
      <c r="O23" s="1"/>
    </row>
    <row r="24" spans="2:15" x14ac:dyDescent="0.3">
      <c r="B24" t="s">
        <v>166</v>
      </c>
      <c r="C24" t="s">
        <v>366</v>
      </c>
      <c r="D24">
        <v>1</v>
      </c>
      <c r="E24" t="s">
        <v>270</v>
      </c>
      <c r="H24" s="1">
        <f>Tabela_Stropy_N[[#This Row],[hg]]-Tabela_Stropy_N[[#This Row],[hd]]</f>
        <v>0.17999999999999972</v>
      </c>
      <c r="I24" s="1"/>
      <c r="J24" s="1">
        <v>319.62</v>
      </c>
      <c r="K24" s="1">
        <v>9.39</v>
      </c>
      <c r="L24" s="1">
        <v>9.57</v>
      </c>
      <c r="M24" s="1">
        <f>PRODUCT(Tabela_Stropy_N[[#This Row],[A '[m2']]]*Tabela_Stropy_N[[#This Row],[h '[m']]])</f>
        <v>57.531599999999912</v>
      </c>
      <c r="N24" s="1">
        <f>PRODUCT(Tabela_Stropy_N[[#This Row],[Szt.]],Tabela_Stropy_N[[#This Row],[Vj '[m3']]])</f>
        <v>57.531599999999912</v>
      </c>
      <c r="O24" s="1"/>
    </row>
    <row r="25" spans="2:15" x14ac:dyDescent="0.3">
      <c r="B25" t="s">
        <v>166</v>
      </c>
      <c r="C25" t="s">
        <v>366</v>
      </c>
      <c r="D25">
        <v>1</v>
      </c>
      <c r="E25" t="s">
        <v>271</v>
      </c>
      <c r="H25" s="1">
        <f>Tabela_Stropy_N[[#This Row],[hg]]-Tabela_Stropy_N[[#This Row],[hd]]</f>
        <v>0.17999999999999972</v>
      </c>
      <c r="I25" s="1"/>
      <c r="J25" s="1">
        <v>743.34</v>
      </c>
      <c r="K25" s="1">
        <v>9.39</v>
      </c>
      <c r="L25" s="1">
        <v>9.57</v>
      </c>
      <c r="M25" s="1">
        <f>PRODUCT(Tabela_Stropy_N[[#This Row],[A '[m2']]]*Tabela_Stropy_N[[#This Row],[h '[m']]])</f>
        <v>133.8011999999998</v>
      </c>
      <c r="N25" s="1">
        <f>PRODUCT(Tabela_Stropy_N[[#This Row],[Szt.]],Tabela_Stropy_N[[#This Row],[Vj '[m3']]])</f>
        <v>133.8011999999998</v>
      </c>
      <c r="O25" s="1"/>
    </row>
    <row r="26" spans="2:15" x14ac:dyDescent="0.3">
      <c r="B26" t="s">
        <v>166</v>
      </c>
      <c r="C26" t="s">
        <v>366</v>
      </c>
      <c r="E26" t="s">
        <v>270</v>
      </c>
      <c r="F26">
        <v>-2.8450000000000002</v>
      </c>
      <c r="G26">
        <v>2.085</v>
      </c>
      <c r="H26" s="1">
        <f>Tabela_Stropy_N[[#This Row],[hg]]-Tabela_Stropy_N[[#This Row],[hd]]</f>
        <v>0.17999999999999972</v>
      </c>
      <c r="I26" s="1" t="s">
        <v>272</v>
      </c>
      <c r="J26" s="1">
        <f t="shared" ref="J26:J31" si="5">PRODUCT(F26:G26)</f>
        <v>-5.9318249999999999</v>
      </c>
      <c r="K26" s="1">
        <v>9.39</v>
      </c>
      <c r="L26" s="1">
        <v>9.57</v>
      </c>
      <c r="M26" s="1">
        <f>PRODUCT(Tabela_Stropy_N[[#This Row],[A '[m2']]]*Tabela_Stropy_N[[#This Row],[h '[m']]])</f>
        <v>-1.0677284999999983</v>
      </c>
      <c r="N26" s="1">
        <f>PRODUCT(Tabela_Stropy_N[[#This Row],[Szt.]],Tabela_Stropy_N[[#This Row],[Vj '[m3']]])</f>
        <v>-1.0677284999999983</v>
      </c>
      <c r="O26" s="1"/>
    </row>
    <row r="27" spans="2:15" x14ac:dyDescent="0.3">
      <c r="B27" t="s">
        <v>166</v>
      </c>
      <c r="C27" t="s">
        <v>366</v>
      </c>
      <c r="E27" t="s">
        <v>270</v>
      </c>
      <c r="F27">
        <v>-3.9750000000000001</v>
      </c>
      <c r="G27">
        <v>2.61</v>
      </c>
      <c r="H27" s="1">
        <f>Tabela_Stropy_N[[#This Row],[hg]]-Tabela_Stropy_N[[#This Row],[hd]]</f>
        <v>0.17999999999999972</v>
      </c>
      <c r="I27" s="1" t="s">
        <v>273</v>
      </c>
      <c r="J27" s="1">
        <f t="shared" si="5"/>
        <v>-10.374750000000001</v>
      </c>
      <c r="K27" s="1">
        <v>9.39</v>
      </c>
      <c r="L27" s="1">
        <v>9.57</v>
      </c>
      <c r="M27" s="1">
        <f>PRODUCT(Tabela_Stropy_N[[#This Row],[A '[m2']]]*Tabela_Stropy_N[[#This Row],[h '[m']]])</f>
        <v>-1.8674549999999972</v>
      </c>
      <c r="N27" s="1">
        <f>PRODUCT(Tabela_Stropy_N[[#This Row],[Szt.]],Tabela_Stropy_N[[#This Row],[Vj '[m3']]])</f>
        <v>-1.8674549999999972</v>
      </c>
      <c r="O27" s="1"/>
    </row>
    <row r="28" spans="2:15" x14ac:dyDescent="0.3">
      <c r="B28" t="s">
        <v>166</v>
      </c>
      <c r="C28" t="s">
        <v>366</v>
      </c>
      <c r="E28" t="s">
        <v>271</v>
      </c>
      <c r="F28">
        <v>-2.8450000000000002</v>
      </c>
      <c r="G28">
        <v>2.085</v>
      </c>
      <c r="H28" s="1">
        <f>Tabela_Stropy_N[[#This Row],[hg]]-Tabela_Stropy_N[[#This Row],[hd]]</f>
        <v>0.17999999999999972</v>
      </c>
      <c r="I28" s="1" t="s">
        <v>272</v>
      </c>
      <c r="J28" s="1">
        <f t="shared" si="5"/>
        <v>-5.9318249999999999</v>
      </c>
      <c r="K28" s="1">
        <v>9.39</v>
      </c>
      <c r="L28" s="1">
        <v>9.57</v>
      </c>
      <c r="M28" s="1">
        <f>PRODUCT(Tabela_Stropy_N[[#This Row],[A '[m2']]]*Tabela_Stropy_N[[#This Row],[h '[m']]])</f>
        <v>-1.0677284999999983</v>
      </c>
      <c r="N28" s="1">
        <f>PRODUCT(Tabela_Stropy_N[[#This Row],[Szt.]],Tabela_Stropy_N[[#This Row],[Vj '[m3']]])</f>
        <v>-1.0677284999999983</v>
      </c>
      <c r="O28" s="1"/>
    </row>
    <row r="29" spans="2:15" x14ac:dyDescent="0.3">
      <c r="B29" t="s">
        <v>166</v>
      </c>
      <c r="C29" t="s">
        <v>366</v>
      </c>
      <c r="E29" t="s">
        <v>271</v>
      </c>
      <c r="F29">
        <v>-3.98</v>
      </c>
      <c r="G29">
        <v>2.61</v>
      </c>
      <c r="H29" s="1">
        <f>Tabela_Stropy_N[[#This Row],[hg]]-Tabela_Stropy_N[[#This Row],[hd]]</f>
        <v>0.17999999999999972</v>
      </c>
      <c r="I29" s="1" t="s">
        <v>273</v>
      </c>
      <c r="J29" s="1">
        <f t="shared" si="5"/>
        <v>-10.387799999999999</v>
      </c>
      <c r="K29" s="1">
        <v>9.39</v>
      </c>
      <c r="L29" s="1">
        <v>9.57</v>
      </c>
      <c r="M29" s="1">
        <f>PRODUCT(Tabela_Stropy_N[[#This Row],[A '[m2']]]*Tabela_Stropy_N[[#This Row],[h '[m']]])</f>
        <v>-1.8698039999999967</v>
      </c>
      <c r="N29" s="1">
        <f>PRODUCT(Tabela_Stropy_N[[#This Row],[Szt.]],Tabela_Stropy_N[[#This Row],[Vj '[m3']]])</f>
        <v>-1.8698039999999967</v>
      </c>
      <c r="O29" s="1"/>
    </row>
    <row r="30" spans="2:15" x14ac:dyDescent="0.3">
      <c r="B30" t="s">
        <v>166</v>
      </c>
      <c r="C30" t="s">
        <v>366</v>
      </c>
      <c r="E30" t="s">
        <v>271</v>
      </c>
      <c r="F30">
        <v>-2.9</v>
      </c>
      <c r="G30">
        <v>2.085</v>
      </c>
      <c r="H30" s="1">
        <f>Tabela_Stropy_N[[#This Row],[hg]]-Tabela_Stropy_N[[#This Row],[hd]]</f>
        <v>0.17999999999999972</v>
      </c>
      <c r="I30" s="1" t="s">
        <v>272</v>
      </c>
      <c r="J30" s="1">
        <f t="shared" si="5"/>
        <v>-6.0465</v>
      </c>
      <c r="K30" s="1">
        <v>9.39</v>
      </c>
      <c r="L30" s="1">
        <v>9.57</v>
      </c>
      <c r="M30" s="1">
        <f>PRODUCT(Tabela_Stropy_N[[#This Row],[A '[m2']]]*Tabela_Stropy_N[[#This Row],[h '[m']]])</f>
        <v>-1.0883699999999983</v>
      </c>
      <c r="N30" s="1">
        <f>PRODUCT(Tabela_Stropy_N[[#This Row],[Szt.]],Tabela_Stropy_N[[#This Row],[Vj '[m3']]])</f>
        <v>-1.0883699999999983</v>
      </c>
      <c r="O30" s="1"/>
    </row>
    <row r="31" spans="2:15" x14ac:dyDescent="0.3">
      <c r="B31" t="s">
        <v>166</v>
      </c>
      <c r="C31" t="s">
        <v>366</v>
      </c>
      <c r="E31" t="s">
        <v>271</v>
      </c>
      <c r="F31">
        <v>-3.98</v>
      </c>
      <c r="G31">
        <v>2.61</v>
      </c>
      <c r="H31" s="1">
        <f>Tabela_Stropy_N[[#This Row],[hg]]-Tabela_Stropy_N[[#This Row],[hd]]</f>
        <v>0.17999999999999972</v>
      </c>
      <c r="I31" s="1" t="s">
        <v>273</v>
      </c>
      <c r="J31" s="1">
        <f t="shared" si="5"/>
        <v>-10.387799999999999</v>
      </c>
      <c r="K31" s="1">
        <v>9.39</v>
      </c>
      <c r="L31" s="1">
        <v>9.57</v>
      </c>
      <c r="M31" s="1">
        <f>PRODUCT(Tabela_Stropy_N[[#This Row],[A '[m2']]]*Tabela_Stropy_N[[#This Row],[h '[m']]])</f>
        <v>-1.8698039999999967</v>
      </c>
      <c r="N31" s="1">
        <f>PRODUCT(Tabela_Stropy_N[[#This Row],[Szt.]],Tabela_Stropy_N[[#This Row],[Vj '[m3']]])</f>
        <v>-1.8698039999999967</v>
      </c>
      <c r="O31" s="1"/>
    </row>
    <row r="32" spans="2:15" x14ac:dyDescent="0.3">
      <c r="B32" t="s">
        <v>277</v>
      </c>
      <c r="C32" t="s">
        <v>366</v>
      </c>
      <c r="D32">
        <v>6</v>
      </c>
      <c r="E32" t="s">
        <v>158</v>
      </c>
      <c r="F32">
        <v>1.92</v>
      </c>
      <c r="G32">
        <v>1.36</v>
      </c>
      <c r="H32" s="1">
        <f>Tabela_Stropy_N[[#This Row],[hg]]-Tabela_Stropy_N[[#This Row],[hd]]</f>
        <v>0.16999999999999993</v>
      </c>
      <c r="I32" s="1"/>
      <c r="J32" s="1">
        <f t="shared" ref="J32:J36" si="6">PRODUCT(F32:G32)</f>
        <v>2.6112000000000002</v>
      </c>
      <c r="K32" s="1">
        <v>9.39</v>
      </c>
      <c r="L32" s="1">
        <f>AVERAGE(9.57,9.55)</f>
        <v>9.56</v>
      </c>
      <c r="M32" s="1">
        <f>PRODUCT(Tabela_Stropy_N[[#This Row],[A '[m2']]]*Tabela_Stropy_N[[#This Row],[h '[m']]])</f>
        <v>0.44390399999999985</v>
      </c>
      <c r="N32" s="1">
        <f>PRODUCT(Tabela_Stropy_N[[#This Row],[Szt.]],Tabela_Stropy_N[[#This Row],[Vj '[m3']]])</f>
        <v>2.6634239999999991</v>
      </c>
      <c r="O32" s="1"/>
    </row>
    <row r="33" spans="2:15" x14ac:dyDescent="0.3">
      <c r="B33" t="s">
        <v>277</v>
      </c>
      <c r="C33" t="s">
        <v>366</v>
      </c>
      <c r="D33">
        <v>2</v>
      </c>
      <c r="E33" t="s">
        <v>274</v>
      </c>
      <c r="F33">
        <v>4.1900000000000004</v>
      </c>
      <c r="G33">
        <v>1.41</v>
      </c>
      <c r="H33" s="1">
        <f>Tabela_Stropy_N[[#This Row],[hg]]-Tabela_Stropy_N[[#This Row],[hd]]</f>
        <v>0.16999999999999993</v>
      </c>
      <c r="I33" s="1"/>
      <c r="J33" s="1">
        <f t="shared" si="6"/>
        <v>5.9079000000000006</v>
      </c>
      <c r="K33" s="1">
        <v>9.39</v>
      </c>
      <c r="L33" s="1">
        <f t="shared" ref="L33:L36" si="7">AVERAGE(9.57,9.55)</f>
        <v>9.56</v>
      </c>
      <c r="M33" s="1">
        <f>PRODUCT(Tabela_Stropy_N[[#This Row],[A '[m2']]]*Tabela_Stropy_N[[#This Row],[h '[m']]])</f>
        <v>1.0043429999999998</v>
      </c>
      <c r="N33" s="1">
        <f>PRODUCT(Tabela_Stropy_N[[#This Row],[Szt.]],Tabela_Stropy_N[[#This Row],[Vj '[m3']]])</f>
        <v>2.0086859999999995</v>
      </c>
      <c r="O33" s="1"/>
    </row>
    <row r="34" spans="2:15" x14ac:dyDescent="0.3">
      <c r="B34" t="s">
        <v>277</v>
      </c>
      <c r="C34" t="s">
        <v>366</v>
      </c>
      <c r="D34">
        <v>6</v>
      </c>
      <c r="E34" t="s">
        <v>275</v>
      </c>
      <c r="F34">
        <v>1.72</v>
      </c>
      <c r="G34">
        <v>1.36</v>
      </c>
      <c r="H34" s="1">
        <f>Tabela_Stropy_N[[#This Row],[hg]]-Tabela_Stropy_N[[#This Row],[hd]]</f>
        <v>0.16999999999999993</v>
      </c>
      <c r="I34" s="1"/>
      <c r="J34" s="1">
        <f t="shared" si="6"/>
        <v>2.3391999999999999</v>
      </c>
      <c r="K34" s="1">
        <v>9.39</v>
      </c>
      <c r="L34" s="1">
        <f t="shared" si="7"/>
        <v>9.56</v>
      </c>
      <c r="M34" s="1">
        <f>PRODUCT(Tabela_Stropy_N[[#This Row],[A '[m2']]]*Tabela_Stropy_N[[#This Row],[h '[m']]])</f>
        <v>0.39766399999999985</v>
      </c>
      <c r="N34" s="1">
        <f>PRODUCT(Tabela_Stropy_N[[#This Row],[Szt.]],Tabela_Stropy_N[[#This Row],[Vj '[m3']]])</f>
        <v>2.3859839999999992</v>
      </c>
      <c r="O34" s="1"/>
    </row>
    <row r="35" spans="2:15" x14ac:dyDescent="0.3">
      <c r="B35" t="s">
        <v>277</v>
      </c>
      <c r="C35" t="s">
        <v>366</v>
      </c>
      <c r="D35">
        <v>1</v>
      </c>
      <c r="E35" t="s">
        <v>276</v>
      </c>
      <c r="F35">
        <f>AVERAGE(6.15,6.42)</f>
        <v>6.2850000000000001</v>
      </c>
      <c r="G35">
        <v>1.41</v>
      </c>
      <c r="H35" s="1">
        <f>Tabela_Stropy_N[[#This Row],[hg]]-Tabela_Stropy_N[[#This Row],[hd]]</f>
        <v>0.16999999999999993</v>
      </c>
      <c r="I35" s="1"/>
      <c r="J35" s="1">
        <f t="shared" si="6"/>
        <v>8.8618500000000004</v>
      </c>
      <c r="K35" s="1">
        <v>9.39</v>
      </c>
      <c r="L35" s="1">
        <f t="shared" si="7"/>
        <v>9.56</v>
      </c>
      <c r="M35" s="1">
        <f>PRODUCT(Tabela_Stropy_N[[#This Row],[A '[m2']]]*Tabela_Stropy_N[[#This Row],[h '[m']]])</f>
        <v>1.5065144999999995</v>
      </c>
      <c r="N35" s="1">
        <f>PRODUCT(Tabela_Stropy_N[[#This Row],[Szt.]],Tabela_Stropy_N[[#This Row],[Vj '[m3']]])</f>
        <v>1.5065144999999995</v>
      </c>
      <c r="O35" s="1"/>
    </row>
    <row r="36" spans="2:15" x14ac:dyDescent="0.3">
      <c r="B36" t="s">
        <v>277</v>
      </c>
      <c r="C36" t="s">
        <v>366</v>
      </c>
      <c r="D36">
        <v>1</v>
      </c>
      <c r="E36" t="s">
        <v>278</v>
      </c>
      <c r="F36">
        <f>AVERAGE(5.93,6.22)</f>
        <v>6.0749999999999993</v>
      </c>
      <c r="G36">
        <v>1.6</v>
      </c>
      <c r="H36" s="1">
        <f>Tabela_Stropy_N[[#This Row],[hg]]-Tabela_Stropy_N[[#This Row],[hd]]</f>
        <v>0.16999999999999993</v>
      </c>
      <c r="I36" s="1"/>
      <c r="J36" s="1">
        <f t="shared" si="6"/>
        <v>9.7199999999999989</v>
      </c>
      <c r="K36" s="1">
        <v>9.39</v>
      </c>
      <c r="L36" s="1">
        <f t="shared" si="7"/>
        <v>9.56</v>
      </c>
      <c r="M36" s="1">
        <f>PRODUCT(Tabela_Stropy_N[[#This Row],[A '[m2']]]*Tabela_Stropy_N[[#This Row],[h '[m']]])</f>
        <v>1.6523999999999992</v>
      </c>
      <c r="N36" s="1">
        <f>PRODUCT(Tabela_Stropy_N[[#This Row],[Szt.]],Tabela_Stropy_N[[#This Row],[Vj '[m3']]])</f>
        <v>1.6523999999999992</v>
      </c>
      <c r="O36" s="1"/>
    </row>
    <row r="37" spans="2:15" x14ac:dyDescent="0.3">
      <c r="B37" t="s">
        <v>166</v>
      </c>
      <c r="C37" t="s">
        <v>367</v>
      </c>
      <c r="D37">
        <v>1</v>
      </c>
      <c r="E37" t="s">
        <v>270</v>
      </c>
      <c r="H37" s="1">
        <f>Tabela_Stropy_N[[#This Row],[hg]]-Tabela_Stropy_N[[#This Row],[hd]]</f>
        <v>0.17999999999999972</v>
      </c>
      <c r="I37" s="1"/>
      <c r="J37" s="1">
        <v>319.62</v>
      </c>
      <c r="K37" s="1">
        <v>12.49</v>
      </c>
      <c r="L37" s="1">
        <v>12.67</v>
      </c>
      <c r="M37" s="1">
        <f>PRODUCT(Tabela_Stropy_N[[#This Row],[A '[m2']]]*Tabela_Stropy_N[[#This Row],[h '[m']]])</f>
        <v>57.531599999999912</v>
      </c>
      <c r="N37" s="1">
        <f>PRODUCT(Tabela_Stropy_N[[#This Row],[Szt.]],Tabela_Stropy_N[[#This Row],[Vj '[m3']]])</f>
        <v>57.531599999999912</v>
      </c>
      <c r="O37" s="1"/>
    </row>
    <row r="38" spans="2:15" x14ac:dyDescent="0.3">
      <c r="B38" t="s">
        <v>166</v>
      </c>
      <c r="C38" t="s">
        <v>367</v>
      </c>
      <c r="D38">
        <v>1</v>
      </c>
      <c r="E38" t="s">
        <v>271</v>
      </c>
      <c r="H38" s="1">
        <f>Tabela_Stropy_N[[#This Row],[hg]]-Tabela_Stropy_N[[#This Row],[hd]]</f>
        <v>0.17999999999999972</v>
      </c>
      <c r="I38" s="1"/>
      <c r="J38" s="1">
        <v>743.34</v>
      </c>
      <c r="K38" s="1">
        <v>12.49</v>
      </c>
      <c r="L38" s="1">
        <v>12.67</v>
      </c>
      <c r="M38" s="1">
        <f>PRODUCT(Tabela_Stropy_N[[#This Row],[A '[m2']]]*Tabela_Stropy_N[[#This Row],[h '[m']]])</f>
        <v>133.8011999999998</v>
      </c>
      <c r="N38" s="1">
        <f>PRODUCT(Tabela_Stropy_N[[#This Row],[Szt.]],Tabela_Stropy_N[[#This Row],[Vj '[m3']]])</f>
        <v>133.8011999999998</v>
      </c>
      <c r="O38" s="1"/>
    </row>
    <row r="39" spans="2:15" x14ac:dyDescent="0.3">
      <c r="B39" t="s">
        <v>166</v>
      </c>
      <c r="C39" t="s">
        <v>367</v>
      </c>
      <c r="E39" t="s">
        <v>270</v>
      </c>
      <c r="F39">
        <v>-2.8450000000000002</v>
      </c>
      <c r="G39">
        <v>2.085</v>
      </c>
      <c r="H39" s="1">
        <f>Tabela_Stropy_N[[#This Row],[hg]]-Tabela_Stropy_N[[#This Row],[hd]]</f>
        <v>0.17999999999999972</v>
      </c>
      <c r="I39" s="1" t="s">
        <v>272</v>
      </c>
      <c r="J39" s="1">
        <f t="shared" ref="J39:J44" si="8">PRODUCT(F39:G39)</f>
        <v>-5.9318249999999999</v>
      </c>
      <c r="K39" s="1">
        <v>12.49</v>
      </c>
      <c r="L39" s="1">
        <v>12.67</v>
      </c>
      <c r="M39" s="1">
        <f>PRODUCT(Tabela_Stropy_N[[#This Row],[A '[m2']]]*Tabela_Stropy_N[[#This Row],[h '[m']]])</f>
        <v>-1.0677284999999983</v>
      </c>
      <c r="N39" s="1">
        <f>PRODUCT(Tabela_Stropy_N[[#This Row],[Szt.]],Tabela_Stropy_N[[#This Row],[Vj '[m3']]])</f>
        <v>-1.0677284999999983</v>
      </c>
      <c r="O39" s="1"/>
    </row>
    <row r="40" spans="2:15" x14ac:dyDescent="0.3">
      <c r="B40" t="s">
        <v>166</v>
      </c>
      <c r="C40" t="s">
        <v>367</v>
      </c>
      <c r="E40" t="s">
        <v>270</v>
      </c>
      <c r="F40">
        <v>-3.9750000000000001</v>
      </c>
      <c r="G40">
        <v>2.61</v>
      </c>
      <c r="H40" s="1">
        <f>Tabela_Stropy_N[[#This Row],[hg]]-Tabela_Stropy_N[[#This Row],[hd]]</f>
        <v>0.17999999999999972</v>
      </c>
      <c r="I40" s="1" t="s">
        <v>273</v>
      </c>
      <c r="J40" s="1">
        <f t="shared" si="8"/>
        <v>-10.374750000000001</v>
      </c>
      <c r="K40" s="1">
        <v>12.49</v>
      </c>
      <c r="L40" s="1">
        <v>12.67</v>
      </c>
      <c r="M40" s="1">
        <f>PRODUCT(Tabela_Stropy_N[[#This Row],[A '[m2']]]*Tabela_Stropy_N[[#This Row],[h '[m']]])</f>
        <v>-1.8674549999999972</v>
      </c>
      <c r="N40" s="1">
        <f>PRODUCT(Tabela_Stropy_N[[#This Row],[Szt.]],Tabela_Stropy_N[[#This Row],[Vj '[m3']]])</f>
        <v>-1.8674549999999972</v>
      </c>
      <c r="O40" s="1"/>
    </row>
    <row r="41" spans="2:15" x14ac:dyDescent="0.3">
      <c r="B41" t="s">
        <v>166</v>
      </c>
      <c r="C41" t="s">
        <v>367</v>
      </c>
      <c r="E41" t="s">
        <v>271</v>
      </c>
      <c r="F41">
        <v>-2.8450000000000002</v>
      </c>
      <c r="G41">
        <v>2.085</v>
      </c>
      <c r="H41" s="1">
        <f>Tabela_Stropy_N[[#This Row],[hg]]-Tabela_Stropy_N[[#This Row],[hd]]</f>
        <v>0.17999999999999972</v>
      </c>
      <c r="I41" s="1" t="s">
        <v>272</v>
      </c>
      <c r="J41" s="1">
        <f t="shared" si="8"/>
        <v>-5.9318249999999999</v>
      </c>
      <c r="K41" s="1">
        <v>12.49</v>
      </c>
      <c r="L41" s="1">
        <v>12.67</v>
      </c>
      <c r="M41" s="1">
        <f>PRODUCT(Tabela_Stropy_N[[#This Row],[A '[m2']]]*Tabela_Stropy_N[[#This Row],[h '[m']]])</f>
        <v>-1.0677284999999983</v>
      </c>
      <c r="N41" s="1">
        <f>PRODUCT(Tabela_Stropy_N[[#This Row],[Szt.]],Tabela_Stropy_N[[#This Row],[Vj '[m3']]])</f>
        <v>-1.0677284999999983</v>
      </c>
      <c r="O41" s="1"/>
    </row>
    <row r="42" spans="2:15" x14ac:dyDescent="0.3">
      <c r="B42" t="s">
        <v>166</v>
      </c>
      <c r="C42" t="s">
        <v>367</v>
      </c>
      <c r="E42" t="s">
        <v>271</v>
      </c>
      <c r="F42">
        <v>-3.98</v>
      </c>
      <c r="G42">
        <v>2.61</v>
      </c>
      <c r="H42" s="1">
        <f>Tabela_Stropy_N[[#This Row],[hg]]-Tabela_Stropy_N[[#This Row],[hd]]</f>
        <v>0.17999999999999972</v>
      </c>
      <c r="I42" s="1" t="s">
        <v>273</v>
      </c>
      <c r="J42" s="1">
        <f t="shared" si="8"/>
        <v>-10.387799999999999</v>
      </c>
      <c r="K42" s="1">
        <v>12.49</v>
      </c>
      <c r="L42" s="1">
        <v>12.67</v>
      </c>
      <c r="M42" s="1">
        <f>PRODUCT(Tabela_Stropy_N[[#This Row],[A '[m2']]]*Tabela_Stropy_N[[#This Row],[h '[m']]])</f>
        <v>-1.8698039999999967</v>
      </c>
      <c r="N42" s="1">
        <f>PRODUCT(Tabela_Stropy_N[[#This Row],[Szt.]],Tabela_Stropy_N[[#This Row],[Vj '[m3']]])</f>
        <v>-1.8698039999999967</v>
      </c>
      <c r="O42" s="1"/>
    </row>
    <row r="43" spans="2:15" x14ac:dyDescent="0.3">
      <c r="B43" t="s">
        <v>166</v>
      </c>
      <c r="C43" t="s">
        <v>367</v>
      </c>
      <c r="E43" t="s">
        <v>271</v>
      </c>
      <c r="F43">
        <v>-2.9</v>
      </c>
      <c r="G43">
        <v>2.085</v>
      </c>
      <c r="H43" s="1">
        <f>Tabela_Stropy_N[[#This Row],[hg]]-Tabela_Stropy_N[[#This Row],[hd]]</f>
        <v>0.17999999999999972</v>
      </c>
      <c r="I43" s="1" t="s">
        <v>272</v>
      </c>
      <c r="J43" s="1">
        <f t="shared" si="8"/>
        <v>-6.0465</v>
      </c>
      <c r="K43" s="1">
        <v>12.49</v>
      </c>
      <c r="L43" s="1">
        <v>12.67</v>
      </c>
      <c r="M43" s="1">
        <f>PRODUCT(Tabela_Stropy_N[[#This Row],[A '[m2']]]*Tabela_Stropy_N[[#This Row],[h '[m']]])</f>
        <v>-1.0883699999999983</v>
      </c>
      <c r="N43" s="1">
        <f>PRODUCT(Tabela_Stropy_N[[#This Row],[Szt.]],Tabela_Stropy_N[[#This Row],[Vj '[m3']]])</f>
        <v>-1.0883699999999983</v>
      </c>
      <c r="O43" s="1"/>
    </row>
    <row r="44" spans="2:15" x14ac:dyDescent="0.3">
      <c r="B44" t="s">
        <v>166</v>
      </c>
      <c r="C44" t="s">
        <v>367</v>
      </c>
      <c r="E44" t="s">
        <v>271</v>
      </c>
      <c r="F44">
        <v>-3.98</v>
      </c>
      <c r="G44">
        <v>2.61</v>
      </c>
      <c r="H44" s="1">
        <f>Tabela_Stropy_N[[#This Row],[hg]]-Tabela_Stropy_N[[#This Row],[hd]]</f>
        <v>0.17999999999999972</v>
      </c>
      <c r="I44" s="1" t="s">
        <v>273</v>
      </c>
      <c r="J44" s="1">
        <f t="shared" si="8"/>
        <v>-10.387799999999999</v>
      </c>
      <c r="K44" s="1">
        <v>12.49</v>
      </c>
      <c r="L44" s="1">
        <v>12.67</v>
      </c>
      <c r="M44" s="1">
        <f>PRODUCT(Tabela_Stropy_N[[#This Row],[A '[m2']]]*Tabela_Stropy_N[[#This Row],[h '[m']]])</f>
        <v>-1.8698039999999967</v>
      </c>
      <c r="N44" s="1">
        <f>PRODUCT(Tabela_Stropy_N[[#This Row],[Szt.]],Tabela_Stropy_N[[#This Row],[Vj '[m3']]])</f>
        <v>-1.8698039999999967</v>
      </c>
      <c r="O44" s="1"/>
    </row>
    <row r="45" spans="2:15" x14ac:dyDescent="0.3">
      <c r="B45" t="s">
        <v>277</v>
      </c>
      <c r="C45" t="s">
        <v>367</v>
      </c>
      <c r="D45">
        <v>6</v>
      </c>
      <c r="E45" t="s">
        <v>158</v>
      </c>
      <c r="F45">
        <v>1.92</v>
      </c>
      <c r="G45">
        <v>1.36</v>
      </c>
      <c r="H45" s="1">
        <f>Tabela_Stropy_N[[#This Row],[hg]]-Tabela_Stropy_N[[#This Row],[hd]]</f>
        <v>0.16999999999999993</v>
      </c>
      <c r="I45" s="1"/>
      <c r="J45" s="1">
        <f t="shared" ref="J45:J49" si="9">PRODUCT(F45:G45)</f>
        <v>2.6112000000000002</v>
      </c>
      <c r="K45" s="1">
        <v>12.49</v>
      </c>
      <c r="L45" s="1">
        <f>AVERAGE(12.67,12.65)</f>
        <v>12.66</v>
      </c>
      <c r="M45" s="1">
        <f>PRODUCT(Tabela_Stropy_N[[#This Row],[A '[m2']]]*Tabela_Stropy_N[[#This Row],[h '[m']]])</f>
        <v>0.44390399999999985</v>
      </c>
      <c r="N45" s="1">
        <f>PRODUCT(Tabela_Stropy_N[[#This Row],[Szt.]],Tabela_Stropy_N[[#This Row],[Vj '[m3']]])</f>
        <v>2.6634239999999991</v>
      </c>
      <c r="O45" s="1"/>
    </row>
    <row r="46" spans="2:15" x14ac:dyDescent="0.3">
      <c r="B46" t="s">
        <v>277</v>
      </c>
      <c r="C46" t="s">
        <v>367</v>
      </c>
      <c r="D46">
        <v>2</v>
      </c>
      <c r="E46" t="s">
        <v>274</v>
      </c>
      <c r="F46">
        <v>4.1900000000000004</v>
      </c>
      <c r="G46">
        <v>1.41</v>
      </c>
      <c r="H46" s="1">
        <f>Tabela_Stropy_N[[#This Row],[hg]]-Tabela_Stropy_N[[#This Row],[hd]]</f>
        <v>0.16999999999999993</v>
      </c>
      <c r="I46" s="1"/>
      <c r="J46" s="1">
        <f t="shared" si="9"/>
        <v>5.9079000000000006</v>
      </c>
      <c r="K46" s="1">
        <v>12.49</v>
      </c>
      <c r="L46" s="1">
        <f t="shared" ref="L46:L49" si="10">AVERAGE(12.67,12.65)</f>
        <v>12.66</v>
      </c>
      <c r="M46" s="1">
        <f>PRODUCT(Tabela_Stropy_N[[#This Row],[A '[m2']]]*Tabela_Stropy_N[[#This Row],[h '[m']]])</f>
        <v>1.0043429999999998</v>
      </c>
      <c r="N46" s="1">
        <f>PRODUCT(Tabela_Stropy_N[[#This Row],[Szt.]],Tabela_Stropy_N[[#This Row],[Vj '[m3']]])</f>
        <v>2.0086859999999995</v>
      </c>
      <c r="O46" s="1"/>
    </row>
    <row r="47" spans="2:15" x14ac:dyDescent="0.3">
      <c r="B47" t="s">
        <v>277</v>
      </c>
      <c r="C47" t="s">
        <v>367</v>
      </c>
      <c r="D47">
        <v>6</v>
      </c>
      <c r="E47" t="s">
        <v>275</v>
      </c>
      <c r="F47">
        <v>1.72</v>
      </c>
      <c r="G47">
        <v>1.36</v>
      </c>
      <c r="H47" s="1">
        <f>Tabela_Stropy_N[[#This Row],[hg]]-Tabela_Stropy_N[[#This Row],[hd]]</f>
        <v>0.16999999999999993</v>
      </c>
      <c r="I47" s="1"/>
      <c r="J47" s="1">
        <f t="shared" si="9"/>
        <v>2.3391999999999999</v>
      </c>
      <c r="K47" s="1">
        <v>12.49</v>
      </c>
      <c r="L47" s="1">
        <f t="shared" si="10"/>
        <v>12.66</v>
      </c>
      <c r="M47" s="1">
        <f>PRODUCT(Tabela_Stropy_N[[#This Row],[A '[m2']]]*Tabela_Stropy_N[[#This Row],[h '[m']]])</f>
        <v>0.39766399999999985</v>
      </c>
      <c r="N47" s="1">
        <f>PRODUCT(Tabela_Stropy_N[[#This Row],[Szt.]],Tabela_Stropy_N[[#This Row],[Vj '[m3']]])</f>
        <v>2.3859839999999992</v>
      </c>
      <c r="O47" s="1"/>
    </row>
    <row r="48" spans="2:15" x14ac:dyDescent="0.3">
      <c r="B48" t="s">
        <v>277</v>
      </c>
      <c r="C48" t="s">
        <v>367</v>
      </c>
      <c r="D48">
        <v>1</v>
      </c>
      <c r="E48" t="s">
        <v>276</v>
      </c>
      <c r="F48">
        <f>AVERAGE(6.15,6.42)</f>
        <v>6.2850000000000001</v>
      </c>
      <c r="G48">
        <v>1.41</v>
      </c>
      <c r="H48" s="1">
        <f>Tabela_Stropy_N[[#This Row],[hg]]-Tabela_Stropy_N[[#This Row],[hd]]</f>
        <v>0.16999999999999993</v>
      </c>
      <c r="I48" s="1"/>
      <c r="J48" s="1">
        <f t="shared" si="9"/>
        <v>8.8618500000000004</v>
      </c>
      <c r="K48" s="1">
        <v>12.49</v>
      </c>
      <c r="L48" s="1">
        <f t="shared" si="10"/>
        <v>12.66</v>
      </c>
      <c r="M48" s="1">
        <f>PRODUCT(Tabela_Stropy_N[[#This Row],[A '[m2']]]*Tabela_Stropy_N[[#This Row],[h '[m']]])</f>
        <v>1.5065144999999995</v>
      </c>
      <c r="N48" s="1">
        <f>PRODUCT(Tabela_Stropy_N[[#This Row],[Szt.]],Tabela_Stropy_N[[#This Row],[Vj '[m3']]])</f>
        <v>1.5065144999999995</v>
      </c>
      <c r="O48" s="1"/>
    </row>
    <row r="49" spans="2:15" x14ac:dyDescent="0.3">
      <c r="B49" t="s">
        <v>277</v>
      </c>
      <c r="C49" t="s">
        <v>367</v>
      </c>
      <c r="D49">
        <v>1</v>
      </c>
      <c r="E49" t="s">
        <v>278</v>
      </c>
      <c r="F49">
        <f>AVERAGE(5.93,6.22)</f>
        <v>6.0749999999999993</v>
      </c>
      <c r="G49">
        <v>1.6</v>
      </c>
      <c r="H49" s="1">
        <f>Tabela_Stropy_N[[#This Row],[hg]]-Tabela_Stropy_N[[#This Row],[hd]]</f>
        <v>0.16999999999999993</v>
      </c>
      <c r="I49" s="1"/>
      <c r="J49" s="1">
        <f t="shared" si="9"/>
        <v>9.7199999999999989</v>
      </c>
      <c r="K49" s="1">
        <v>12.49</v>
      </c>
      <c r="L49" s="1">
        <f t="shared" si="10"/>
        <v>12.66</v>
      </c>
      <c r="M49" s="1">
        <f>PRODUCT(Tabela_Stropy_N[[#This Row],[A '[m2']]]*Tabela_Stropy_N[[#This Row],[h '[m']]])</f>
        <v>1.6523999999999992</v>
      </c>
      <c r="N49" s="1">
        <f>PRODUCT(Tabela_Stropy_N[[#This Row],[Szt.]],Tabela_Stropy_N[[#This Row],[Vj '[m3']]])</f>
        <v>1.6523999999999992</v>
      </c>
      <c r="O49" s="1"/>
    </row>
    <row r="50" spans="2:15" x14ac:dyDescent="0.3">
      <c r="B50" t="s">
        <v>166</v>
      </c>
      <c r="C50" t="s">
        <v>368</v>
      </c>
      <c r="D50">
        <v>1</v>
      </c>
      <c r="E50" t="s">
        <v>282</v>
      </c>
      <c r="H50" s="1">
        <f>Tabela_Stropy_N[[#This Row],[hg]]-Tabela_Stropy_N[[#This Row],[hd]]</f>
        <v>0.17999999999999972</v>
      </c>
      <c r="I50" s="1"/>
      <c r="J50" s="1">
        <v>326.43</v>
      </c>
      <c r="K50" s="1">
        <v>15.59</v>
      </c>
      <c r="L50" s="1">
        <v>15.77</v>
      </c>
      <c r="M50" s="1">
        <f>PRODUCT(Tabela_Stropy_N[[#This Row],[A '[m2']]]*Tabela_Stropy_N[[#This Row],[h '[m']]])</f>
        <v>58.757399999999912</v>
      </c>
      <c r="N50" s="1">
        <f>PRODUCT(Tabela_Stropy_N[[#This Row],[Szt.]],Tabela_Stropy_N[[#This Row],[Vj '[m3']]])</f>
        <v>58.757399999999912</v>
      </c>
      <c r="O50" s="1"/>
    </row>
    <row r="51" spans="2:15" x14ac:dyDescent="0.3">
      <c r="B51" t="s">
        <v>166</v>
      </c>
      <c r="C51" t="s">
        <v>368</v>
      </c>
      <c r="D51">
        <v>1</v>
      </c>
      <c r="E51" t="s">
        <v>283</v>
      </c>
      <c r="H51" s="1">
        <f>Tabela_Stropy_N[[#This Row],[hg]]-Tabela_Stropy_N[[#This Row],[hd]]</f>
        <v>0.17999999999999972</v>
      </c>
      <c r="I51" s="1"/>
      <c r="J51" s="1">
        <v>769.29</v>
      </c>
      <c r="K51" s="1">
        <v>15.59</v>
      </c>
      <c r="L51" s="1">
        <v>15.77</v>
      </c>
      <c r="M51" s="1">
        <f>PRODUCT(Tabela_Stropy_N[[#This Row],[A '[m2']]]*Tabela_Stropy_N[[#This Row],[h '[m']]])</f>
        <v>138.47219999999979</v>
      </c>
      <c r="N51" s="1">
        <f>PRODUCT(Tabela_Stropy_N[[#This Row],[Szt.]],Tabela_Stropy_N[[#This Row],[Vj '[m3']]])</f>
        <v>138.47219999999979</v>
      </c>
      <c r="O51" s="1"/>
    </row>
    <row r="52" spans="2:15" x14ac:dyDescent="0.3">
      <c r="B52" t="s">
        <v>166</v>
      </c>
      <c r="C52" t="s">
        <v>368</v>
      </c>
      <c r="E52" t="s">
        <v>282</v>
      </c>
      <c r="F52">
        <v>-2.8450000000000002</v>
      </c>
      <c r="G52">
        <v>2.085</v>
      </c>
      <c r="H52" s="1">
        <f>Tabela_Stropy_N[[#This Row],[hg]]-Tabela_Stropy_N[[#This Row],[hd]]</f>
        <v>0.17999999999999972</v>
      </c>
      <c r="I52" s="1" t="s">
        <v>272</v>
      </c>
      <c r="J52" s="1">
        <f t="shared" ref="J52:J54" si="11">PRODUCT(F52:G52)</f>
        <v>-5.9318249999999999</v>
      </c>
      <c r="K52" s="1">
        <v>15.59</v>
      </c>
      <c r="L52" s="1">
        <v>15.77</v>
      </c>
      <c r="M52" s="1">
        <f>PRODUCT(Tabela_Stropy_N[[#This Row],[A '[m2']]]*Tabela_Stropy_N[[#This Row],[h '[m']]])</f>
        <v>-1.0677284999999983</v>
      </c>
      <c r="N52" s="1">
        <f>PRODUCT(Tabela_Stropy_N[[#This Row],[Szt.]],Tabela_Stropy_N[[#This Row],[Vj '[m3']]])</f>
        <v>-1.0677284999999983</v>
      </c>
      <c r="O52" s="1"/>
    </row>
    <row r="53" spans="2:15" x14ac:dyDescent="0.3">
      <c r="B53" t="s">
        <v>166</v>
      </c>
      <c r="C53" t="s">
        <v>368</v>
      </c>
      <c r="E53" t="s">
        <v>283</v>
      </c>
      <c r="F53">
        <v>-2.8450000000000002</v>
      </c>
      <c r="G53">
        <v>2.085</v>
      </c>
      <c r="H53" s="1">
        <f>Tabela_Stropy_N[[#This Row],[hg]]-Tabela_Stropy_N[[#This Row],[hd]]</f>
        <v>0.17999999999999972</v>
      </c>
      <c r="I53" s="1" t="s">
        <v>272</v>
      </c>
      <c r="J53" s="1">
        <f t="shared" si="11"/>
        <v>-5.9318249999999999</v>
      </c>
      <c r="K53" s="1">
        <v>15.59</v>
      </c>
      <c r="L53" s="1">
        <v>15.77</v>
      </c>
      <c r="M53" s="1">
        <f>PRODUCT(Tabela_Stropy_N[[#This Row],[A '[m2']]]*Tabela_Stropy_N[[#This Row],[h '[m']]])</f>
        <v>-1.0677284999999983</v>
      </c>
      <c r="N53" s="1">
        <f>PRODUCT(Tabela_Stropy_N[[#This Row],[Szt.]],Tabela_Stropy_N[[#This Row],[Vj '[m3']]])</f>
        <v>-1.0677284999999983</v>
      </c>
      <c r="O53" s="1"/>
    </row>
    <row r="54" spans="2:15" x14ac:dyDescent="0.3">
      <c r="B54" t="s">
        <v>166</v>
      </c>
      <c r="C54" t="s">
        <v>368</v>
      </c>
      <c r="E54" t="s">
        <v>283</v>
      </c>
      <c r="F54">
        <v>-2.9</v>
      </c>
      <c r="G54">
        <v>2.085</v>
      </c>
      <c r="H54" s="1">
        <f>Tabela_Stropy_N[[#This Row],[hg]]-Tabela_Stropy_N[[#This Row],[hd]]</f>
        <v>0.17999999999999972</v>
      </c>
      <c r="I54" s="1" t="s">
        <v>272</v>
      </c>
      <c r="J54" s="1">
        <f t="shared" si="11"/>
        <v>-6.0465</v>
      </c>
      <c r="K54" s="1">
        <v>15.59</v>
      </c>
      <c r="L54" s="1">
        <v>15.77</v>
      </c>
      <c r="M54" s="1">
        <f>PRODUCT(Tabela_Stropy_N[[#This Row],[A '[m2']]]*Tabela_Stropy_N[[#This Row],[h '[m']]])</f>
        <v>-1.0883699999999983</v>
      </c>
      <c r="N54" s="1">
        <f>PRODUCT(Tabela_Stropy_N[[#This Row],[Szt.]],Tabela_Stropy_N[[#This Row],[Vj '[m3']]])</f>
        <v>-1.0883699999999983</v>
      </c>
      <c r="O54" s="1"/>
    </row>
    <row r="55" spans="2:15" x14ac:dyDescent="0.3">
      <c r="B55" t="s">
        <v>277</v>
      </c>
      <c r="C55" t="s">
        <v>368</v>
      </c>
      <c r="D55">
        <v>6</v>
      </c>
      <c r="E55" t="s">
        <v>158</v>
      </c>
      <c r="F55">
        <v>1.92</v>
      </c>
      <c r="G55">
        <v>1.36</v>
      </c>
      <c r="H55" s="1">
        <f>Tabela_Stropy_N[[#This Row],[hg]]-Tabela_Stropy_N[[#This Row],[hd]]</f>
        <v>0.16999999999999993</v>
      </c>
      <c r="I55" s="1"/>
      <c r="J55" s="1">
        <f t="shared" ref="J55:J59" si="12">PRODUCT(F55:G55)</f>
        <v>2.6112000000000002</v>
      </c>
      <c r="K55" s="1">
        <v>15.59</v>
      </c>
      <c r="L55" s="1">
        <f>AVERAGE(15.77,15.75)</f>
        <v>15.76</v>
      </c>
      <c r="M55" s="1">
        <f>PRODUCT(Tabela_Stropy_N[[#This Row],[A '[m2']]]*Tabela_Stropy_N[[#This Row],[h '[m']]])</f>
        <v>0.44390399999999985</v>
      </c>
      <c r="N55" s="1">
        <f>PRODUCT(Tabela_Stropy_N[[#This Row],[Szt.]],Tabela_Stropy_N[[#This Row],[Vj '[m3']]])</f>
        <v>2.6634239999999991</v>
      </c>
      <c r="O55" s="1"/>
    </row>
    <row r="56" spans="2:15" x14ac:dyDescent="0.3">
      <c r="B56" t="s">
        <v>277</v>
      </c>
      <c r="C56" t="s">
        <v>368</v>
      </c>
      <c r="D56">
        <v>6</v>
      </c>
      <c r="E56" t="s">
        <v>275</v>
      </c>
      <c r="F56">
        <v>1.72</v>
      </c>
      <c r="G56">
        <v>1.36</v>
      </c>
      <c r="H56" s="1">
        <f>Tabela_Stropy_N[[#This Row],[hg]]-Tabela_Stropy_N[[#This Row],[hd]]</f>
        <v>0.16999999999999993</v>
      </c>
      <c r="I56" s="1"/>
      <c r="J56" s="1">
        <f t="shared" si="12"/>
        <v>2.3391999999999999</v>
      </c>
      <c r="K56" s="1">
        <v>15.59</v>
      </c>
      <c r="L56" s="1">
        <f t="shared" ref="L56" si="13">AVERAGE(15.77,15.75)</f>
        <v>15.76</v>
      </c>
      <c r="M56" s="1">
        <f>PRODUCT(Tabela_Stropy_N[[#This Row],[A '[m2']]]*Tabela_Stropy_N[[#This Row],[h '[m']]])</f>
        <v>0.39766399999999985</v>
      </c>
      <c r="N56" s="1">
        <f>PRODUCT(Tabela_Stropy_N[[#This Row],[Szt.]],Tabela_Stropy_N[[#This Row],[Vj '[m3']]])</f>
        <v>2.3859839999999992</v>
      </c>
      <c r="O56" s="1"/>
    </row>
    <row r="57" spans="2:15" x14ac:dyDescent="0.3">
      <c r="B57" t="s">
        <v>166</v>
      </c>
      <c r="C57" t="s">
        <v>364</v>
      </c>
      <c r="D57">
        <v>1</v>
      </c>
      <c r="E57" t="s">
        <v>286</v>
      </c>
      <c r="F57">
        <v>2.8149999999999999</v>
      </c>
      <c r="G57">
        <v>2.0249999999999999</v>
      </c>
      <c r="H57" s="1">
        <f>Tabela_Stropy_N[[#This Row],[hg]]-Tabela_Stropy_N[[#This Row],[hd]]</f>
        <v>0.20000000000000284</v>
      </c>
      <c r="I57" s="1" t="s">
        <v>272</v>
      </c>
      <c r="J57" s="1">
        <f t="shared" si="12"/>
        <v>5.7003749999999993</v>
      </c>
      <c r="K57" s="1">
        <v>16.399999999999999</v>
      </c>
      <c r="L57" s="1">
        <v>16.600000000000001</v>
      </c>
      <c r="M57" s="1">
        <f>PRODUCT(Tabela_Stropy_N[[#This Row],[A '[m2']]]*Tabela_Stropy_N[[#This Row],[h '[m']]])</f>
        <v>1.1400750000000162</v>
      </c>
      <c r="N57" s="1">
        <f>PRODUCT(Tabela_Stropy_N[[#This Row],[Szt.]],Tabela_Stropy_N[[#This Row],[Vj '[m3']]])</f>
        <v>1.1400750000000162</v>
      </c>
      <c r="O57" s="1"/>
    </row>
    <row r="58" spans="2:15" x14ac:dyDescent="0.3">
      <c r="B58" t="s">
        <v>166</v>
      </c>
      <c r="C58" t="s">
        <v>364</v>
      </c>
      <c r="D58">
        <v>1</v>
      </c>
      <c r="E58" t="s">
        <v>286</v>
      </c>
      <c r="F58">
        <v>2.8149999999999999</v>
      </c>
      <c r="G58">
        <v>2.0249999999999999</v>
      </c>
      <c r="H58" s="1">
        <f>Tabela_Stropy_N[[#This Row],[hg]]-Tabela_Stropy_N[[#This Row],[hd]]</f>
        <v>0.20000000000000284</v>
      </c>
      <c r="I58" s="1" t="s">
        <v>272</v>
      </c>
      <c r="J58" s="1">
        <f t="shared" si="12"/>
        <v>5.7003749999999993</v>
      </c>
      <c r="K58" s="1">
        <v>16.399999999999999</v>
      </c>
      <c r="L58" s="1">
        <v>16.600000000000001</v>
      </c>
      <c r="M58" s="1">
        <f>PRODUCT(Tabela_Stropy_N[[#This Row],[A '[m2']]]*Tabela_Stropy_N[[#This Row],[h '[m']]])</f>
        <v>1.1400750000000162</v>
      </c>
      <c r="N58" s="1">
        <f>PRODUCT(Tabela_Stropy_N[[#This Row],[Szt.]],Tabela_Stropy_N[[#This Row],[Vj '[m3']]])</f>
        <v>1.1400750000000162</v>
      </c>
      <c r="O58" s="1"/>
    </row>
    <row r="59" spans="2:15" x14ac:dyDescent="0.3">
      <c r="B59" t="s">
        <v>166</v>
      </c>
      <c r="C59" t="s">
        <v>364</v>
      </c>
      <c r="D59">
        <v>1</v>
      </c>
      <c r="E59" t="s">
        <v>286</v>
      </c>
      <c r="F59">
        <v>2.87</v>
      </c>
      <c r="G59">
        <v>2.0249999999999999</v>
      </c>
      <c r="H59" s="1">
        <f>Tabela_Stropy_N[[#This Row],[hg]]-Tabela_Stropy_N[[#This Row],[hd]]</f>
        <v>0.20000000000000284</v>
      </c>
      <c r="I59" s="1" t="s">
        <v>272</v>
      </c>
      <c r="J59" s="1">
        <f t="shared" si="12"/>
        <v>5.81175</v>
      </c>
      <c r="K59" s="1">
        <v>16.399999999999999</v>
      </c>
      <c r="L59" s="1">
        <v>16.600000000000001</v>
      </c>
      <c r="M59" s="1">
        <f>PRODUCT(Tabela_Stropy_N[[#This Row],[A '[m2']]]*Tabela_Stropy_N[[#This Row],[h '[m']]])</f>
        <v>1.1623500000000164</v>
      </c>
      <c r="N59" s="1">
        <f>PRODUCT(Tabela_Stropy_N[[#This Row],[Szt.]],Tabela_Stropy_N[[#This Row],[Vj '[m3']]])</f>
        <v>1.1623500000000164</v>
      </c>
      <c r="O59" s="1"/>
    </row>
    <row r="65" spans="5:7" x14ac:dyDescent="0.3">
      <c r="E65" s="2" t="s">
        <v>67</v>
      </c>
      <c r="F65" t="s">
        <v>255</v>
      </c>
      <c r="G65" t="s">
        <v>69</v>
      </c>
    </row>
    <row r="66" spans="5:7" x14ac:dyDescent="0.3">
      <c r="E66" s="3" t="s">
        <v>277</v>
      </c>
      <c r="F66">
        <v>60</v>
      </c>
      <c r="G66" s="11">
        <v>35.700433499999981</v>
      </c>
    </row>
    <row r="67" spans="5:7" x14ac:dyDescent="0.3">
      <c r="E67" s="4" t="s">
        <v>225</v>
      </c>
      <c r="F67">
        <v>16</v>
      </c>
      <c r="G67" s="11">
        <v>10.217008499999995</v>
      </c>
    </row>
    <row r="68" spans="5:7" x14ac:dyDescent="0.3">
      <c r="E68" s="4" t="s">
        <v>226</v>
      </c>
      <c r="F68">
        <v>16</v>
      </c>
      <c r="G68" s="11">
        <v>10.217008499999995</v>
      </c>
    </row>
    <row r="69" spans="5:7" x14ac:dyDescent="0.3">
      <c r="E69" s="4" t="s">
        <v>243</v>
      </c>
      <c r="F69">
        <v>16</v>
      </c>
      <c r="G69" s="11">
        <v>10.217008499999995</v>
      </c>
    </row>
    <row r="70" spans="5:7" x14ac:dyDescent="0.3">
      <c r="E70" s="4" t="s">
        <v>245</v>
      </c>
      <c r="F70">
        <v>12</v>
      </c>
      <c r="G70" s="11">
        <v>5.0494079999999979</v>
      </c>
    </row>
    <row r="71" spans="5:7" x14ac:dyDescent="0.3">
      <c r="E71" s="3" t="s">
        <v>166</v>
      </c>
      <c r="F71">
        <v>11</v>
      </c>
      <c r="G71" s="11">
        <v>744.95400299999903</v>
      </c>
    </row>
    <row r="72" spans="5:7" x14ac:dyDescent="0.3">
      <c r="E72" s="4" t="s">
        <v>225</v>
      </c>
      <c r="F72">
        <v>2</v>
      </c>
      <c r="G72" s="11">
        <v>182.50190999999975</v>
      </c>
    </row>
    <row r="73" spans="5:7" x14ac:dyDescent="0.3">
      <c r="E73" s="4" t="s">
        <v>226</v>
      </c>
      <c r="F73">
        <v>2</v>
      </c>
      <c r="G73" s="11">
        <v>182.50190999999975</v>
      </c>
    </row>
    <row r="74" spans="5:7" x14ac:dyDescent="0.3">
      <c r="E74" s="4" t="s">
        <v>243</v>
      </c>
      <c r="F74">
        <v>2</v>
      </c>
      <c r="G74" s="11">
        <v>182.50190999999975</v>
      </c>
    </row>
    <row r="75" spans="5:7" x14ac:dyDescent="0.3">
      <c r="E75" s="4" t="s">
        <v>245</v>
      </c>
      <c r="F75">
        <v>2</v>
      </c>
      <c r="G75" s="11">
        <v>194.00577299999972</v>
      </c>
    </row>
    <row r="76" spans="5:7" x14ac:dyDescent="0.3">
      <c r="E76" s="4" t="s">
        <v>364</v>
      </c>
      <c r="F76">
        <v>3</v>
      </c>
      <c r="G76" s="11">
        <v>3.4425000000000487</v>
      </c>
    </row>
    <row r="77" spans="5:7" x14ac:dyDescent="0.3">
      <c r="E77" s="3" t="s">
        <v>68</v>
      </c>
      <c r="F77">
        <v>71</v>
      </c>
      <c r="G77" s="11">
        <v>780.65443649999895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C4E2-25C7-49A6-9976-24F84268E755}">
  <dimension ref="B3:O50"/>
  <sheetViews>
    <sheetView zoomScale="85" zoomScaleNormal="85" workbookViewId="0">
      <selection activeCell="J31" sqref="J31"/>
    </sheetView>
  </sheetViews>
  <sheetFormatPr defaultRowHeight="14.4" x14ac:dyDescent="0.3"/>
  <cols>
    <col min="2" max="2" width="17.88671875" bestFit="1" customWidth="1"/>
    <col min="3" max="3" width="18.77734375" bestFit="1" customWidth="1"/>
    <col min="4" max="4" width="10.77734375" bestFit="1" customWidth="1"/>
    <col min="5" max="5" width="13.5546875" bestFit="1" customWidth="1"/>
    <col min="6" max="6" width="14" bestFit="1" customWidth="1"/>
    <col min="7" max="7" width="16" customWidth="1"/>
    <col min="8" max="8" width="7.5546875" customWidth="1"/>
    <col min="9" max="9" width="10.88671875" customWidth="1"/>
    <col min="10" max="10" width="9.33203125" customWidth="1"/>
    <col min="11" max="11" width="8.33203125" customWidth="1"/>
    <col min="12" max="12" width="12.33203125" customWidth="1"/>
    <col min="13" max="13" width="12.77734375" customWidth="1"/>
    <col min="14" max="14" width="22.33203125" customWidth="1"/>
  </cols>
  <sheetData>
    <row r="3" spans="2:15" x14ac:dyDescent="0.3">
      <c r="B3" s="6" t="s">
        <v>292</v>
      </c>
      <c r="C3" s="7"/>
      <c r="D3" s="7"/>
      <c r="E3" s="7"/>
    </row>
    <row r="4" spans="2:15" x14ac:dyDescent="0.3">
      <c r="B4" t="s">
        <v>301</v>
      </c>
    </row>
    <row r="6" spans="2:15" ht="15.75" customHeight="1" x14ac:dyDescent="0.3">
      <c r="B6" t="s">
        <v>18</v>
      </c>
      <c r="C6" t="s">
        <v>222</v>
      </c>
      <c r="D6" t="s">
        <v>221</v>
      </c>
      <c r="E6" t="s">
        <v>4</v>
      </c>
      <c r="F6" t="s">
        <v>26</v>
      </c>
      <c r="G6" t="s">
        <v>25</v>
      </c>
      <c r="H6" t="s">
        <v>27</v>
      </c>
      <c r="I6" t="s">
        <v>24</v>
      </c>
      <c r="J6" t="s">
        <v>83</v>
      </c>
      <c r="K6" t="s">
        <v>38</v>
      </c>
      <c r="L6" t="s">
        <v>309</v>
      </c>
      <c r="M6" t="s">
        <v>28</v>
      </c>
      <c r="N6" t="s">
        <v>82</v>
      </c>
      <c r="O6" t="s">
        <v>72</v>
      </c>
    </row>
    <row r="7" spans="2:15" ht="15.75" customHeight="1" x14ac:dyDescent="0.3">
      <c r="B7" t="s">
        <v>293</v>
      </c>
      <c r="C7" t="s">
        <v>169</v>
      </c>
      <c r="D7">
        <v>3</v>
      </c>
      <c r="E7" t="s">
        <v>73</v>
      </c>
      <c r="F7">
        <f t="shared" ref="F7" si="0">2.82*2+1.65*2</f>
        <v>8.94</v>
      </c>
      <c r="G7">
        <v>0.18</v>
      </c>
      <c r="H7" s="1">
        <f>Tabela_Windy[[#This Row],[hg]]-Tabela_Windy[[#This Row],[hd]]</f>
        <v>0.98</v>
      </c>
      <c r="I7" s="1">
        <f t="shared" ref="I7" si="1">PRODUCT(F7:G7)</f>
        <v>1.6091999999999997</v>
      </c>
      <c r="J7" s="1">
        <v>-1</v>
      </c>
      <c r="K7" s="1">
        <v>-0.02</v>
      </c>
      <c r="L7" s="1">
        <f>PRODUCT(Tabela_Windy[[#This Row],[h '[m']]],Tabela_Windy[[#This Row],[A '[m2']]])</f>
        <v>1.5770159999999998</v>
      </c>
      <c r="M7" s="1">
        <f>PRODUCT(Tabela_Windy[[#This Row],[Szt.]],Tabela_Windy[[#This Row],[Vj '[m3']]])</f>
        <v>4.7310479999999995</v>
      </c>
      <c r="N7" s="1"/>
      <c r="O7" s="1"/>
    </row>
    <row r="8" spans="2:15" ht="15.75" customHeight="1" x14ac:dyDescent="0.3">
      <c r="B8" t="s">
        <v>295</v>
      </c>
      <c r="C8" t="s">
        <v>169</v>
      </c>
      <c r="D8">
        <v>3</v>
      </c>
      <c r="E8" t="s">
        <v>296</v>
      </c>
      <c r="F8">
        <f>2.82*2+1.65+0.38+0.09</f>
        <v>7.7599999999999989</v>
      </c>
      <c r="G8">
        <v>0.18</v>
      </c>
      <c r="H8" s="1">
        <f>Tabela_Windy[[#This Row],[hg]]-Tabela_Windy[[#This Row],[hd]]</f>
        <v>0.30000000000000004</v>
      </c>
      <c r="I8" s="1">
        <f t="shared" ref="I8" si="2">PRODUCT(F8:G8)</f>
        <v>1.3967999999999998</v>
      </c>
      <c r="J8" s="1">
        <v>0.95</v>
      </c>
      <c r="K8" s="1">
        <v>1.25</v>
      </c>
      <c r="L8" s="1">
        <f>PRODUCT(Tabela_Windy[[#This Row],[h '[m']]],Tabela_Windy[[#This Row],[A '[m2']]])</f>
        <v>0.41904000000000002</v>
      </c>
      <c r="M8" s="1">
        <f>PRODUCT(Tabela_Windy[[#This Row],[Szt.]],Tabela_Windy[[#This Row],[Vj '[m3']]])</f>
        <v>1.25712</v>
      </c>
      <c r="N8" s="1"/>
      <c r="O8" s="1"/>
    </row>
    <row r="9" spans="2:15" ht="15.75" customHeight="1" x14ac:dyDescent="0.3">
      <c r="B9" t="s">
        <v>295</v>
      </c>
      <c r="C9" t="s">
        <v>365</v>
      </c>
      <c r="D9">
        <v>3</v>
      </c>
      <c r="E9" t="s">
        <v>296</v>
      </c>
      <c r="F9">
        <f>2.82*2+1.65+0.38+0.09</f>
        <v>7.7599999999999989</v>
      </c>
      <c r="G9">
        <v>0.18</v>
      </c>
      <c r="H9" s="1">
        <f>Tabela_Windy[[#This Row],[hg]]-Tabela_Windy[[#This Row],[hd]]</f>
        <v>0.29999999999999982</v>
      </c>
      <c r="I9" s="1">
        <f t="shared" ref="I9" si="3">PRODUCT(F9:G9)</f>
        <v>1.3967999999999998</v>
      </c>
      <c r="J9" s="1">
        <v>3.45</v>
      </c>
      <c r="K9" s="1">
        <v>3.75</v>
      </c>
      <c r="L9" s="1">
        <f>PRODUCT(Tabela_Windy[[#This Row],[h '[m']]],Tabela_Windy[[#This Row],[A '[m2']]])</f>
        <v>0.41903999999999969</v>
      </c>
      <c r="M9" s="1">
        <f>PRODUCT(Tabela_Windy[[#This Row],[Szt.]],Tabela_Windy[[#This Row],[Vj '[m3']]])</f>
        <v>1.2571199999999991</v>
      </c>
      <c r="N9" s="1"/>
      <c r="O9" s="1"/>
    </row>
    <row r="10" spans="2:15" ht="15.75" customHeight="1" x14ac:dyDescent="0.3">
      <c r="B10" t="s">
        <v>295</v>
      </c>
      <c r="C10" t="s">
        <v>365</v>
      </c>
      <c r="D10">
        <v>3</v>
      </c>
      <c r="E10" t="s">
        <v>297</v>
      </c>
      <c r="F10">
        <f>2.82*2+1.65+1.65</f>
        <v>8.94</v>
      </c>
      <c r="G10">
        <v>0.18</v>
      </c>
      <c r="H10" s="1">
        <f>Tabela_Windy[[#This Row],[hg]]-Tabela_Windy[[#This Row],[hd]]</f>
        <v>0.29999999999999982</v>
      </c>
      <c r="I10" s="1">
        <f t="shared" ref="I10:I11" si="4">PRODUCT(F10:G10)</f>
        <v>1.6091999999999997</v>
      </c>
      <c r="J10" s="1">
        <v>5.95</v>
      </c>
      <c r="K10" s="1">
        <v>6.25</v>
      </c>
      <c r="L10" s="1">
        <f>PRODUCT(Tabela_Windy[[#This Row],[h '[m']]],Tabela_Windy[[#This Row],[A '[m2']]])</f>
        <v>0.48275999999999963</v>
      </c>
      <c r="M10" s="1">
        <f>PRODUCT(Tabela_Windy[[#This Row],[Szt.]],Tabela_Windy[[#This Row],[Vj '[m3']]])</f>
        <v>1.4482799999999989</v>
      </c>
      <c r="N10" s="1"/>
      <c r="O10" s="1"/>
    </row>
    <row r="11" spans="2:15" ht="15.75" customHeight="1" x14ac:dyDescent="0.3">
      <c r="B11" t="s">
        <v>295</v>
      </c>
      <c r="C11" t="s">
        <v>366</v>
      </c>
      <c r="D11">
        <v>3</v>
      </c>
      <c r="E11" t="s">
        <v>296</v>
      </c>
      <c r="F11">
        <f>2.82*2+1.65+0.38+0.09</f>
        <v>7.7599999999999989</v>
      </c>
      <c r="G11">
        <v>0.18</v>
      </c>
      <c r="H11" s="1">
        <f>Tabela_Windy[[#This Row],[hg]]-Tabela_Windy[[#This Row],[hd]]</f>
        <v>0.30000000000000071</v>
      </c>
      <c r="I11" s="1">
        <f t="shared" si="4"/>
        <v>1.3967999999999998</v>
      </c>
      <c r="J11" s="1">
        <v>8.4499999999999993</v>
      </c>
      <c r="K11" s="1">
        <v>8.75</v>
      </c>
      <c r="L11" s="1">
        <f>PRODUCT(Tabela_Windy[[#This Row],[h '[m']]],Tabela_Windy[[#This Row],[A '[m2']]])</f>
        <v>0.41904000000000091</v>
      </c>
      <c r="M11" s="1">
        <f>PRODUCT(Tabela_Windy[[#This Row],[Szt.]],Tabela_Windy[[#This Row],[Vj '[m3']]])</f>
        <v>1.2571200000000027</v>
      </c>
      <c r="N11" s="1"/>
      <c r="O11" s="1"/>
    </row>
    <row r="12" spans="2:15" ht="15.75" customHeight="1" x14ac:dyDescent="0.3">
      <c r="B12" t="s">
        <v>295</v>
      </c>
      <c r="C12" t="s">
        <v>367</v>
      </c>
      <c r="D12">
        <v>3</v>
      </c>
      <c r="E12" t="s">
        <v>296</v>
      </c>
      <c r="F12">
        <f>2.82*2+1.65+0.38+0.09</f>
        <v>7.7599999999999989</v>
      </c>
      <c r="G12">
        <v>0.18</v>
      </c>
      <c r="H12" s="1">
        <f>Tabela_Windy[[#This Row],[hg]]-Tabela_Windy[[#This Row],[hd]]</f>
        <v>0.30000000000000071</v>
      </c>
      <c r="I12" s="1">
        <f t="shared" ref="I12" si="5">PRODUCT(F12:G12)</f>
        <v>1.3967999999999998</v>
      </c>
      <c r="J12" s="1">
        <v>10.95</v>
      </c>
      <c r="K12" s="1">
        <v>11.25</v>
      </c>
      <c r="L12" s="1">
        <f>PRODUCT(Tabela_Windy[[#This Row],[h '[m']]],Tabela_Windy[[#This Row],[A '[m2']]])</f>
        <v>0.41904000000000091</v>
      </c>
      <c r="M12" s="1">
        <f>PRODUCT(Tabela_Windy[[#This Row],[Szt.]],Tabela_Windy[[#This Row],[Vj '[m3']]])</f>
        <v>1.2571200000000027</v>
      </c>
      <c r="N12" s="1"/>
      <c r="O12" s="1"/>
    </row>
    <row r="13" spans="2:15" ht="15.75" customHeight="1" x14ac:dyDescent="0.3">
      <c r="B13" t="s">
        <v>295</v>
      </c>
      <c r="C13" t="s">
        <v>367</v>
      </c>
      <c r="D13">
        <v>3</v>
      </c>
      <c r="E13" t="s">
        <v>296</v>
      </c>
      <c r="F13">
        <f>2.82*2+1.65+0.38+0.09</f>
        <v>7.7599999999999989</v>
      </c>
      <c r="G13">
        <v>0.18</v>
      </c>
      <c r="H13" s="1">
        <f>Tabela_Windy[[#This Row],[hg]]-Tabela_Windy[[#This Row],[hd]]</f>
        <v>0.30000000000000071</v>
      </c>
      <c r="I13" s="1">
        <f t="shared" ref="I13" si="6">PRODUCT(F13:G13)</f>
        <v>1.3967999999999998</v>
      </c>
      <c r="J13" s="1">
        <v>12.69</v>
      </c>
      <c r="K13" s="1">
        <v>12.99</v>
      </c>
      <c r="L13" s="1">
        <f>PRODUCT(Tabela_Windy[[#This Row],[h '[m']]],Tabela_Windy[[#This Row],[A '[m2']]])</f>
        <v>0.41904000000000091</v>
      </c>
      <c r="M13" s="1">
        <f>PRODUCT(Tabela_Windy[[#This Row],[Szt.]],Tabela_Windy[[#This Row],[Vj '[m3']]])</f>
        <v>1.2571200000000027</v>
      </c>
      <c r="N13" s="1"/>
      <c r="O13" s="1"/>
    </row>
    <row r="14" spans="2:15" ht="15.75" customHeight="1" x14ac:dyDescent="0.3">
      <c r="B14" t="s">
        <v>295</v>
      </c>
      <c r="C14" t="s">
        <v>368</v>
      </c>
      <c r="D14">
        <v>3</v>
      </c>
      <c r="E14" t="s">
        <v>296</v>
      </c>
      <c r="F14">
        <f>2.82*2+1.65+0.38+0.09</f>
        <v>7.7599999999999989</v>
      </c>
      <c r="G14">
        <v>0.18</v>
      </c>
      <c r="H14" s="1">
        <f>Tabela_Windy[[#This Row],[hg]]-Tabela_Windy[[#This Row],[hd]]</f>
        <v>0.29999999999999893</v>
      </c>
      <c r="I14" s="1">
        <f t="shared" ref="I14:I17" si="7">PRODUCT(F14:G14)</f>
        <v>1.3967999999999998</v>
      </c>
      <c r="J14" s="1">
        <v>14.71</v>
      </c>
      <c r="K14" s="1">
        <v>15.01</v>
      </c>
      <c r="L14" s="1">
        <f>PRODUCT(Tabela_Windy[[#This Row],[h '[m']]],Tabela_Windy[[#This Row],[A '[m2']]])</f>
        <v>0.41903999999999847</v>
      </c>
      <c r="M14" s="1">
        <f>PRODUCT(Tabela_Windy[[#This Row],[Szt.]],Tabela_Windy[[#This Row],[Vj '[m3']]])</f>
        <v>1.2571199999999954</v>
      </c>
      <c r="N14" s="1"/>
      <c r="O14" s="1"/>
    </row>
    <row r="15" spans="2:15" ht="15.75" customHeight="1" x14ac:dyDescent="0.3">
      <c r="B15" t="s">
        <v>298</v>
      </c>
      <c r="C15" t="s">
        <v>169</v>
      </c>
      <c r="D15">
        <v>3</v>
      </c>
      <c r="E15" t="s">
        <v>299</v>
      </c>
      <c r="F15">
        <v>2.0099999999999998</v>
      </c>
      <c r="G15">
        <v>0.18</v>
      </c>
      <c r="H15" s="1">
        <v>0.13</v>
      </c>
      <c r="I15" s="1">
        <f t="shared" si="7"/>
        <v>0.36179999999999995</v>
      </c>
      <c r="J15" s="1"/>
      <c r="K15" s="1"/>
      <c r="L15" s="1">
        <f>PRODUCT(Tabela_Windy[[#This Row],[h '[m']]],Tabela_Windy[[#This Row],[A '[m2']]])</f>
        <v>4.7033999999999992E-2</v>
      </c>
      <c r="M15" s="1">
        <f>PRODUCT(Tabela_Windy[[#This Row],[Szt.]],Tabela_Windy[[#This Row],[Vj '[m3']]])</f>
        <v>0.14110199999999998</v>
      </c>
      <c r="N15" s="1"/>
      <c r="O15" s="1"/>
    </row>
    <row r="16" spans="2:15" ht="15.75" customHeight="1" x14ac:dyDescent="0.3">
      <c r="B16" t="s">
        <v>298</v>
      </c>
      <c r="C16" t="s">
        <v>169</v>
      </c>
      <c r="D16">
        <v>3</v>
      </c>
      <c r="E16" t="s">
        <v>299</v>
      </c>
      <c r="F16">
        <v>2.0099999999999998</v>
      </c>
      <c r="G16">
        <v>0.1</v>
      </c>
      <c r="H16" s="1">
        <v>7.0000000000000007E-2</v>
      </c>
      <c r="I16" s="1">
        <f t="shared" si="7"/>
        <v>0.20099999999999998</v>
      </c>
      <c r="J16" s="1"/>
      <c r="K16" s="1"/>
      <c r="L16" s="1">
        <f>PRODUCT(Tabela_Windy[[#This Row],[h '[m']]],Tabela_Windy[[#This Row],[A '[m2']]])</f>
        <v>1.4070000000000001E-2</v>
      </c>
      <c r="M16" s="1">
        <f>PRODUCT(Tabela_Windy[[#This Row],[Szt.]],Tabela_Windy[[#This Row],[Vj '[m3']]])</f>
        <v>4.2210000000000004E-2</v>
      </c>
      <c r="N16" s="1"/>
      <c r="O16" s="1"/>
    </row>
    <row r="17" spans="2:15" ht="15.75" customHeight="1" x14ac:dyDescent="0.3">
      <c r="B17" t="s">
        <v>298</v>
      </c>
      <c r="C17" t="s">
        <v>169</v>
      </c>
      <c r="D17">
        <v>3</v>
      </c>
      <c r="E17" t="s">
        <v>300</v>
      </c>
      <c r="F17">
        <v>2.0099999999999998</v>
      </c>
      <c r="G17">
        <v>0.18</v>
      </c>
      <c r="H17" s="1">
        <v>0.2</v>
      </c>
      <c r="I17" s="1">
        <f t="shared" si="7"/>
        <v>0.36179999999999995</v>
      </c>
      <c r="J17" s="1"/>
      <c r="K17" s="1"/>
      <c r="L17" s="1">
        <f>PRODUCT(Tabela_Windy[[#This Row],[h '[m']]],Tabela_Windy[[#This Row],[A '[m2']]])</f>
        <v>7.2359999999999994E-2</v>
      </c>
      <c r="M17" s="1">
        <f>PRODUCT(Tabela_Windy[[#This Row],[Szt.]],Tabela_Windy[[#This Row],[Vj '[m3']]])</f>
        <v>0.21708</v>
      </c>
      <c r="N17" s="1"/>
      <c r="O17" s="1"/>
    </row>
    <row r="18" spans="2:15" ht="15.75" customHeight="1" x14ac:dyDescent="0.3">
      <c r="B18" t="s">
        <v>298</v>
      </c>
      <c r="C18" t="s">
        <v>169</v>
      </c>
      <c r="D18">
        <v>3</v>
      </c>
      <c r="E18" t="s">
        <v>299</v>
      </c>
      <c r="F18">
        <v>2.0099999999999998</v>
      </c>
      <c r="G18">
        <v>0.18</v>
      </c>
      <c r="H18" s="1">
        <v>0.13</v>
      </c>
      <c r="I18" s="1">
        <f t="shared" ref="I18:I20" si="8">PRODUCT(F18:G18)</f>
        <v>0.36179999999999995</v>
      </c>
      <c r="J18" s="1"/>
      <c r="K18" s="1"/>
      <c r="L18" s="1">
        <f>PRODUCT(Tabela_Windy[[#This Row],[h '[m']]],Tabela_Windy[[#This Row],[A '[m2']]])</f>
        <v>4.7033999999999992E-2</v>
      </c>
      <c r="M18" s="1">
        <f>PRODUCT(Tabela_Windy[[#This Row],[Szt.]],Tabela_Windy[[#This Row],[Vj '[m3']]])</f>
        <v>0.14110199999999998</v>
      </c>
      <c r="N18" s="1"/>
      <c r="O18" s="1"/>
    </row>
    <row r="19" spans="2:15" ht="15.75" customHeight="1" x14ac:dyDescent="0.3">
      <c r="B19" t="s">
        <v>298</v>
      </c>
      <c r="C19" t="s">
        <v>169</v>
      </c>
      <c r="D19">
        <v>3</v>
      </c>
      <c r="E19" t="s">
        <v>299</v>
      </c>
      <c r="F19">
        <v>2.0099999999999998</v>
      </c>
      <c r="G19">
        <v>0.1</v>
      </c>
      <c r="H19" s="1">
        <v>7.0000000000000007E-2</v>
      </c>
      <c r="I19" s="1">
        <f t="shared" si="8"/>
        <v>0.20099999999999998</v>
      </c>
      <c r="J19" s="1"/>
      <c r="K19" s="1"/>
      <c r="L19" s="1">
        <f>PRODUCT(Tabela_Windy[[#This Row],[h '[m']]],Tabela_Windy[[#This Row],[A '[m2']]])</f>
        <v>1.4070000000000001E-2</v>
      </c>
      <c r="M19" s="1">
        <f>PRODUCT(Tabela_Windy[[#This Row],[Szt.]],Tabela_Windy[[#This Row],[Vj '[m3']]])</f>
        <v>4.2210000000000004E-2</v>
      </c>
      <c r="N19" s="1"/>
      <c r="O19" s="1"/>
    </row>
    <row r="20" spans="2:15" ht="15.75" customHeight="1" x14ac:dyDescent="0.3">
      <c r="B20" t="s">
        <v>298</v>
      </c>
      <c r="C20" t="s">
        <v>365</v>
      </c>
      <c r="D20">
        <v>3</v>
      </c>
      <c r="E20" t="s">
        <v>300</v>
      </c>
      <c r="F20">
        <v>2.0099999999999998</v>
      </c>
      <c r="G20">
        <v>0.18</v>
      </c>
      <c r="H20" s="1">
        <v>0.2</v>
      </c>
      <c r="I20" s="1">
        <f t="shared" si="8"/>
        <v>0.36179999999999995</v>
      </c>
      <c r="J20" s="1"/>
      <c r="K20" s="1"/>
      <c r="L20" s="1">
        <f>PRODUCT(Tabela_Windy[[#This Row],[h '[m']]],Tabela_Windy[[#This Row],[A '[m2']]])</f>
        <v>7.2359999999999994E-2</v>
      </c>
      <c r="M20" s="1">
        <f>PRODUCT(Tabela_Windy[[#This Row],[Szt.]],Tabela_Windy[[#This Row],[Vj '[m3']]])</f>
        <v>0.21708</v>
      </c>
      <c r="N20" s="1"/>
      <c r="O20" s="1"/>
    </row>
    <row r="21" spans="2:15" ht="15.75" customHeight="1" x14ac:dyDescent="0.3">
      <c r="B21" t="s">
        <v>298</v>
      </c>
      <c r="C21" t="s">
        <v>365</v>
      </c>
      <c r="D21">
        <v>3</v>
      </c>
      <c r="E21" t="s">
        <v>299</v>
      </c>
      <c r="F21">
        <v>2.0099999999999998</v>
      </c>
      <c r="G21">
        <v>0.18</v>
      </c>
      <c r="H21" s="1">
        <v>0.13</v>
      </c>
      <c r="I21" s="1">
        <f t="shared" ref="I21:I23" si="9">PRODUCT(F21:G21)</f>
        <v>0.36179999999999995</v>
      </c>
      <c r="J21" s="1"/>
      <c r="K21" s="1"/>
      <c r="L21" s="1">
        <f>PRODUCT(Tabela_Windy[[#This Row],[h '[m']]],Tabela_Windy[[#This Row],[A '[m2']]])</f>
        <v>4.7033999999999992E-2</v>
      </c>
      <c r="M21" s="1">
        <f>PRODUCT(Tabela_Windy[[#This Row],[Szt.]],Tabela_Windy[[#This Row],[Vj '[m3']]])</f>
        <v>0.14110199999999998</v>
      </c>
      <c r="N21" s="1"/>
      <c r="O21" s="1"/>
    </row>
    <row r="22" spans="2:15" ht="15.75" customHeight="1" x14ac:dyDescent="0.3">
      <c r="B22" t="s">
        <v>298</v>
      </c>
      <c r="C22" t="s">
        <v>365</v>
      </c>
      <c r="D22">
        <v>3</v>
      </c>
      <c r="E22" t="s">
        <v>299</v>
      </c>
      <c r="F22">
        <v>2.0099999999999998</v>
      </c>
      <c r="G22">
        <v>0.1</v>
      </c>
      <c r="H22" s="1">
        <v>7.0000000000000007E-2</v>
      </c>
      <c r="I22" s="1">
        <f t="shared" si="9"/>
        <v>0.20099999999999998</v>
      </c>
      <c r="J22" s="1"/>
      <c r="K22" s="1"/>
      <c r="L22" s="1">
        <f>PRODUCT(Tabela_Windy[[#This Row],[h '[m']]],Tabela_Windy[[#This Row],[A '[m2']]])</f>
        <v>1.4070000000000001E-2</v>
      </c>
      <c r="M22" s="1">
        <f>PRODUCT(Tabela_Windy[[#This Row],[Szt.]],Tabela_Windy[[#This Row],[Vj '[m3']]])</f>
        <v>4.2210000000000004E-2</v>
      </c>
      <c r="N22" s="1"/>
      <c r="O22" s="1"/>
    </row>
    <row r="23" spans="2:15" ht="15.75" customHeight="1" x14ac:dyDescent="0.3">
      <c r="B23" t="s">
        <v>298</v>
      </c>
      <c r="C23" t="s">
        <v>366</v>
      </c>
      <c r="D23">
        <v>3</v>
      </c>
      <c r="E23" t="s">
        <v>300</v>
      </c>
      <c r="F23">
        <v>2.0099999999999998</v>
      </c>
      <c r="G23">
        <v>0.18</v>
      </c>
      <c r="H23" s="1">
        <v>0.2</v>
      </c>
      <c r="I23" s="1">
        <f t="shared" si="9"/>
        <v>0.36179999999999995</v>
      </c>
      <c r="J23" s="1"/>
      <c r="K23" s="1"/>
      <c r="L23" s="1">
        <f>PRODUCT(Tabela_Windy[[#This Row],[h '[m']]],Tabela_Windy[[#This Row],[A '[m2']]])</f>
        <v>7.2359999999999994E-2</v>
      </c>
      <c r="M23" s="1">
        <f>PRODUCT(Tabela_Windy[[#This Row],[Szt.]],Tabela_Windy[[#This Row],[Vj '[m3']]])</f>
        <v>0.21708</v>
      </c>
      <c r="N23" s="1"/>
      <c r="O23" s="1"/>
    </row>
    <row r="24" spans="2:15" ht="15.75" customHeight="1" x14ac:dyDescent="0.3">
      <c r="B24" t="s">
        <v>298</v>
      </c>
      <c r="C24" t="s">
        <v>366</v>
      </c>
      <c r="D24">
        <v>3</v>
      </c>
      <c r="E24" t="s">
        <v>299</v>
      </c>
      <c r="F24">
        <v>2.0099999999999998</v>
      </c>
      <c r="G24">
        <v>0.18</v>
      </c>
      <c r="H24" s="1">
        <v>0.13</v>
      </c>
      <c r="I24" s="1">
        <f t="shared" ref="I24:I26" si="10">PRODUCT(F24:G24)</f>
        <v>0.36179999999999995</v>
      </c>
      <c r="J24" s="1"/>
      <c r="K24" s="1"/>
      <c r="L24" s="1">
        <f>PRODUCT(Tabela_Windy[[#This Row],[h '[m']]],Tabela_Windy[[#This Row],[A '[m2']]])</f>
        <v>4.7033999999999992E-2</v>
      </c>
      <c r="M24" s="1">
        <f>PRODUCT(Tabela_Windy[[#This Row],[Szt.]],Tabela_Windy[[#This Row],[Vj '[m3']]])</f>
        <v>0.14110199999999998</v>
      </c>
      <c r="N24" s="1"/>
      <c r="O24" s="1"/>
    </row>
    <row r="25" spans="2:15" ht="15.75" customHeight="1" x14ac:dyDescent="0.3">
      <c r="B25" t="s">
        <v>298</v>
      </c>
      <c r="C25" t="s">
        <v>366</v>
      </c>
      <c r="D25">
        <v>3</v>
      </c>
      <c r="E25" t="s">
        <v>299</v>
      </c>
      <c r="F25">
        <v>2.0099999999999998</v>
      </c>
      <c r="G25">
        <v>0.1</v>
      </c>
      <c r="H25" s="1">
        <v>7.0000000000000007E-2</v>
      </c>
      <c r="I25" s="1">
        <f t="shared" si="10"/>
        <v>0.20099999999999998</v>
      </c>
      <c r="J25" s="1"/>
      <c r="K25" s="1"/>
      <c r="L25" s="1">
        <f>PRODUCT(Tabela_Windy[[#This Row],[h '[m']]],Tabela_Windy[[#This Row],[A '[m2']]])</f>
        <v>1.4070000000000001E-2</v>
      </c>
      <c r="M25" s="1">
        <f>PRODUCT(Tabela_Windy[[#This Row],[Szt.]],Tabela_Windy[[#This Row],[Vj '[m3']]])</f>
        <v>4.2210000000000004E-2</v>
      </c>
      <c r="N25" s="1"/>
      <c r="O25" s="1"/>
    </row>
    <row r="26" spans="2:15" ht="15.75" customHeight="1" x14ac:dyDescent="0.3">
      <c r="B26" t="s">
        <v>298</v>
      </c>
      <c r="C26" t="s">
        <v>367</v>
      </c>
      <c r="D26">
        <v>3</v>
      </c>
      <c r="E26" t="s">
        <v>300</v>
      </c>
      <c r="F26">
        <v>2.0099999999999998</v>
      </c>
      <c r="G26">
        <v>0.18</v>
      </c>
      <c r="H26" s="1">
        <v>0.2</v>
      </c>
      <c r="I26" s="1">
        <f t="shared" si="10"/>
        <v>0.36179999999999995</v>
      </c>
      <c r="J26" s="1"/>
      <c r="K26" s="1"/>
      <c r="L26" s="1">
        <f>PRODUCT(Tabela_Windy[[#This Row],[h '[m']]],Tabela_Windy[[#This Row],[A '[m2']]])</f>
        <v>7.2359999999999994E-2</v>
      </c>
      <c r="M26" s="1">
        <f>PRODUCT(Tabela_Windy[[#This Row],[Szt.]],Tabela_Windy[[#This Row],[Vj '[m3']]])</f>
        <v>0.21708</v>
      </c>
      <c r="N26" s="1"/>
      <c r="O26" s="1"/>
    </row>
    <row r="27" spans="2:15" ht="15.75" customHeight="1" x14ac:dyDescent="0.3">
      <c r="B27" t="s">
        <v>298</v>
      </c>
      <c r="C27" t="s">
        <v>367</v>
      </c>
      <c r="D27">
        <v>3</v>
      </c>
      <c r="E27" t="s">
        <v>299</v>
      </c>
      <c r="F27">
        <v>2.0099999999999998</v>
      </c>
      <c r="G27">
        <v>0.18</v>
      </c>
      <c r="H27" s="1">
        <v>0.13</v>
      </c>
      <c r="I27" s="1">
        <f t="shared" ref="I27:I29" si="11">PRODUCT(F27:G27)</f>
        <v>0.36179999999999995</v>
      </c>
      <c r="J27" s="1"/>
      <c r="K27" s="1"/>
      <c r="L27" s="1">
        <f>PRODUCT(Tabela_Windy[[#This Row],[h '[m']]],Tabela_Windy[[#This Row],[A '[m2']]])</f>
        <v>4.7033999999999992E-2</v>
      </c>
      <c r="M27" s="1">
        <f>PRODUCT(Tabela_Windy[[#This Row],[Szt.]],Tabela_Windy[[#This Row],[Vj '[m3']]])</f>
        <v>0.14110199999999998</v>
      </c>
      <c r="N27" s="1"/>
      <c r="O27" s="1"/>
    </row>
    <row r="28" spans="2:15" ht="15.75" customHeight="1" x14ac:dyDescent="0.3">
      <c r="B28" t="s">
        <v>298</v>
      </c>
      <c r="C28" t="s">
        <v>367</v>
      </c>
      <c r="D28">
        <v>3</v>
      </c>
      <c r="E28" t="s">
        <v>299</v>
      </c>
      <c r="F28">
        <v>2.0099999999999998</v>
      </c>
      <c r="G28">
        <v>0.1</v>
      </c>
      <c r="H28" s="1">
        <v>7.0000000000000007E-2</v>
      </c>
      <c r="I28" s="1">
        <f t="shared" si="11"/>
        <v>0.20099999999999998</v>
      </c>
      <c r="J28" s="1"/>
      <c r="K28" s="1"/>
      <c r="L28" s="1">
        <f>PRODUCT(Tabela_Windy[[#This Row],[h '[m']]],Tabela_Windy[[#This Row],[A '[m2']]])</f>
        <v>1.4070000000000001E-2</v>
      </c>
      <c r="M28" s="1">
        <f>PRODUCT(Tabela_Windy[[#This Row],[Szt.]],Tabela_Windy[[#This Row],[Vj '[m3']]])</f>
        <v>4.2210000000000004E-2</v>
      </c>
      <c r="N28" s="1"/>
      <c r="O28" s="1"/>
    </row>
    <row r="29" spans="2:15" ht="15.75" customHeight="1" x14ac:dyDescent="0.3">
      <c r="B29" t="s">
        <v>298</v>
      </c>
      <c r="C29" t="s">
        <v>368</v>
      </c>
      <c r="D29">
        <v>3</v>
      </c>
      <c r="E29" t="s">
        <v>300</v>
      </c>
      <c r="F29">
        <v>2.0099999999999998</v>
      </c>
      <c r="G29">
        <v>0.18</v>
      </c>
      <c r="H29" s="1">
        <v>0.2</v>
      </c>
      <c r="I29" s="1">
        <f t="shared" si="11"/>
        <v>0.36179999999999995</v>
      </c>
      <c r="J29" s="1"/>
      <c r="K29" s="1"/>
      <c r="L29" s="1">
        <f>PRODUCT(Tabela_Windy[[#This Row],[h '[m']]],Tabela_Windy[[#This Row],[A '[m2']]])</f>
        <v>7.2359999999999994E-2</v>
      </c>
      <c r="M29" s="1">
        <f>PRODUCT(Tabela_Windy[[#This Row],[Szt.]],Tabela_Windy[[#This Row],[Vj '[m3']]])</f>
        <v>0.21708</v>
      </c>
      <c r="N29" s="1"/>
      <c r="O29" s="1"/>
    </row>
    <row r="33" spans="3:5" x14ac:dyDescent="0.3">
      <c r="C33" s="2" t="s">
        <v>67</v>
      </c>
      <c r="D33" t="s">
        <v>255</v>
      </c>
      <c r="E33" t="s">
        <v>69</v>
      </c>
    </row>
    <row r="34" spans="3:5" x14ac:dyDescent="0.3">
      <c r="C34" s="3" t="s">
        <v>294</v>
      </c>
      <c r="D34">
        <v>21</v>
      </c>
      <c r="E34" s="11">
        <v>6.571871999999999</v>
      </c>
    </row>
    <row r="35" spans="3:5" x14ac:dyDescent="0.3">
      <c r="C35" s="4" t="s">
        <v>298</v>
      </c>
      <c r="D35">
        <v>15</v>
      </c>
      <c r="E35" s="11">
        <v>0.58370399999999989</v>
      </c>
    </row>
    <row r="36" spans="3:5" x14ac:dyDescent="0.3">
      <c r="C36" s="4" t="s">
        <v>293</v>
      </c>
      <c r="D36">
        <v>3</v>
      </c>
      <c r="E36" s="11">
        <v>4.7310479999999995</v>
      </c>
    </row>
    <row r="37" spans="3:5" x14ac:dyDescent="0.3">
      <c r="C37" s="4" t="s">
        <v>295</v>
      </c>
      <c r="D37">
        <v>3</v>
      </c>
      <c r="E37" s="11">
        <v>1.25712</v>
      </c>
    </row>
    <row r="38" spans="3:5" x14ac:dyDescent="0.3">
      <c r="C38" s="3" t="s">
        <v>225</v>
      </c>
      <c r="D38">
        <v>15</v>
      </c>
      <c r="E38" s="11">
        <v>3.1057919999999983</v>
      </c>
    </row>
    <row r="39" spans="3:5" x14ac:dyDescent="0.3">
      <c r="C39" s="4" t="s">
        <v>298</v>
      </c>
      <c r="D39">
        <v>9</v>
      </c>
      <c r="E39" s="11">
        <v>0.40039200000000003</v>
      </c>
    </row>
    <row r="40" spans="3:5" x14ac:dyDescent="0.3">
      <c r="C40" s="4" t="s">
        <v>295</v>
      </c>
      <c r="D40">
        <v>6</v>
      </c>
      <c r="E40" s="11">
        <v>2.7053999999999983</v>
      </c>
    </row>
    <row r="41" spans="3:5" x14ac:dyDescent="0.3">
      <c r="C41" s="3" t="s">
        <v>226</v>
      </c>
      <c r="D41">
        <v>12</v>
      </c>
      <c r="E41" s="11">
        <v>1.6575120000000028</v>
      </c>
    </row>
    <row r="42" spans="3:5" x14ac:dyDescent="0.3">
      <c r="C42" s="4" t="s">
        <v>298</v>
      </c>
      <c r="D42">
        <v>9</v>
      </c>
      <c r="E42" s="11">
        <v>0.40039200000000003</v>
      </c>
    </row>
    <row r="43" spans="3:5" x14ac:dyDescent="0.3">
      <c r="C43" s="4" t="s">
        <v>295</v>
      </c>
      <c r="D43">
        <v>3</v>
      </c>
      <c r="E43" s="11">
        <v>1.2571200000000027</v>
      </c>
    </row>
    <row r="44" spans="3:5" x14ac:dyDescent="0.3">
      <c r="C44" s="3" t="s">
        <v>243</v>
      </c>
      <c r="D44">
        <v>15</v>
      </c>
      <c r="E44" s="11">
        <v>2.9146320000000054</v>
      </c>
    </row>
    <row r="45" spans="3:5" x14ac:dyDescent="0.3">
      <c r="C45" s="4" t="s">
        <v>298</v>
      </c>
      <c r="D45">
        <v>9</v>
      </c>
      <c r="E45" s="11">
        <v>0.40039200000000003</v>
      </c>
    </row>
    <row r="46" spans="3:5" x14ac:dyDescent="0.3">
      <c r="C46" s="4" t="s">
        <v>295</v>
      </c>
      <c r="D46">
        <v>6</v>
      </c>
      <c r="E46" s="11">
        <v>2.5142400000000054</v>
      </c>
    </row>
    <row r="47" spans="3:5" x14ac:dyDescent="0.3">
      <c r="C47" s="3" t="s">
        <v>245</v>
      </c>
      <c r="D47">
        <v>6</v>
      </c>
      <c r="E47" s="11">
        <v>1.4741999999999953</v>
      </c>
    </row>
    <row r="48" spans="3:5" x14ac:dyDescent="0.3">
      <c r="C48" s="4" t="s">
        <v>298</v>
      </c>
      <c r="D48">
        <v>3</v>
      </c>
      <c r="E48" s="11">
        <v>0.21708</v>
      </c>
    </row>
    <row r="49" spans="3:5" x14ac:dyDescent="0.3">
      <c r="C49" s="4" t="s">
        <v>295</v>
      </c>
      <c r="D49">
        <v>3</v>
      </c>
      <c r="E49" s="11">
        <v>1.2571199999999954</v>
      </c>
    </row>
    <row r="50" spans="3:5" x14ac:dyDescent="0.3">
      <c r="C50" s="3" t="s">
        <v>68</v>
      </c>
      <c r="D50">
        <v>69</v>
      </c>
      <c r="E50" s="11">
        <v>15.724008</v>
      </c>
    </row>
  </sheetData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819D-416F-477C-9ABA-C8C2225F9FA1}">
  <dimension ref="B3:O31"/>
  <sheetViews>
    <sheetView zoomScale="85" zoomScaleNormal="85" workbookViewId="0">
      <selection activeCell="C7" sqref="C7:C14"/>
    </sheetView>
  </sheetViews>
  <sheetFormatPr defaultRowHeight="14.4" x14ac:dyDescent="0.3"/>
  <cols>
    <col min="2" max="2" width="17.88671875" bestFit="1" customWidth="1"/>
    <col min="3" max="3" width="18" bestFit="1" customWidth="1"/>
    <col min="4" max="4" width="10.77734375" bestFit="1" customWidth="1"/>
    <col min="5" max="5" width="13.5546875" bestFit="1" customWidth="1"/>
    <col min="6" max="6" width="14" bestFit="1" customWidth="1"/>
    <col min="7" max="7" width="16" customWidth="1"/>
    <col min="8" max="8" width="7.5546875" customWidth="1"/>
    <col min="9" max="9" width="10.88671875" customWidth="1"/>
    <col min="10" max="10" width="9.33203125" customWidth="1"/>
    <col min="11" max="11" width="8.33203125" customWidth="1"/>
    <col min="12" max="12" width="12.33203125" customWidth="1"/>
    <col min="13" max="13" width="16" customWidth="1"/>
    <col min="14" max="14" width="22.33203125" customWidth="1"/>
  </cols>
  <sheetData>
    <row r="3" spans="2:15" x14ac:dyDescent="0.3">
      <c r="B3" s="6" t="s">
        <v>302</v>
      </c>
      <c r="C3" s="7"/>
      <c r="D3" s="7"/>
      <c r="E3" s="7"/>
    </row>
    <row r="4" spans="2:15" x14ac:dyDescent="0.3">
      <c r="B4" t="s">
        <v>301</v>
      </c>
    </row>
    <row r="6" spans="2:15" ht="15.75" customHeight="1" x14ac:dyDescent="0.3">
      <c r="B6" t="s">
        <v>18</v>
      </c>
      <c r="C6" t="s">
        <v>222</v>
      </c>
      <c r="D6" t="s">
        <v>221</v>
      </c>
      <c r="E6" t="s">
        <v>4</v>
      </c>
      <c r="F6" t="s">
        <v>26</v>
      </c>
      <c r="G6" t="s">
        <v>25</v>
      </c>
      <c r="H6" t="s">
        <v>27</v>
      </c>
      <c r="I6" t="s">
        <v>24</v>
      </c>
      <c r="J6" t="s">
        <v>83</v>
      </c>
      <c r="K6" t="s">
        <v>38</v>
      </c>
      <c r="L6" t="s">
        <v>309</v>
      </c>
      <c r="M6" t="s">
        <v>28</v>
      </c>
      <c r="N6" t="s">
        <v>82</v>
      </c>
      <c r="O6" t="s">
        <v>72</v>
      </c>
    </row>
    <row r="7" spans="2:15" ht="15.75" customHeight="1" x14ac:dyDescent="0.3">
      <c r="B7" t="s">
        <v>303</v>
      </c>
      <c r="C7" t="s">
        <v>169</v>
      </c>
      <c r="D7">
        <v>3</v>
      </c>
      <c r="E7" t="s">
        <v>304</v>
      </c>
      <c r="G7">
        <v>1.2</v>
      </c>
      <c r="H7" s="1"/>
      <c r="I7" s="1">
        <v>1.3216985000000001</v>
      </c>
      <c r="J7" s="1"/>
      <c r="K7" s="1"/>
      <c r="L7" s="1">
        <f>PRODUCT(Tabela_Schody[[#This Row],[h '[m']]],Tabela_Schody[[#This Row],[A '[m2']]])</f>
        <v>1.3216985000000001</v>
      </c>
      <c r="M7" s="1">
        <f>PRODUCT(Tabela_Schody[[#This Row],[Szt.]],Tabela_Schody[[#This Row],[Vj '[m3']]])</f>
        <v>3.9650955000000003</v>
      </c>
      <c r="N7" s="1"/>
      <c r="O7" s="1"/>
    </row>
    <row r="8" spans="2:15" ht="15.75" customHeight="1" x14ac:dyDescent="0.3">
      <c r="B8" t="s">
        <v>303</v>
      </c>
      <c r="C8" t="s">
        <v>169</v>
      </c>
      <c r="D8">
        <v>3</v>
      </c>
      <c r="E8" t="s">
        <v>305</v>
      </c>
      <c r="G8">
        <v>1.2</v>
      </c>
      <c r="H8" s="1"/>
      <c r="I8" s="1">
        <v>1.13462869</v>
      </c>
      <c r="J8" s="1"/>
      <c r="K8" s="1"/>
      <c r="L8" s="1">
        <f>PRODUCT(Tabela_Schody[[#This Row],[h '[m']]],Tabela_Schody[[#This Row],[A '[m2']]])</f>
        <v>1.13462869</v>
      </c>
      <c r="M8" s="1">
        <f>PRODUCT(Tabela_Schody[[#This Row],[Szt.]],Tabela_Schody[[#This Row],[Vj '[m3']]])</f>
        <v>3.40388607</v>
      </c>
      <c r="N8" s="1"/>
      <c r="O8" s="1"/>
    </row>
    <row r="9" spans="2:15" ht="15.75" customHeight="1" x14ac:dyDescent="0.3">
      <c r="B9" t="s">
        <v>303</v>
      </c>
      <c r="C9" t="s">
        <v>365</v>
      </c>
      <c r="D9">
        <v>3</v>
      </c>
      <c r="E9" t="s">
        <v>306</v>
      </c>
      <c r="G9">
        <v>1.25</v>
      </c>
      <c r="H9" s="1"/>
      <c r="I9" s="1">
        <v>1.0680757599999999</v>
      </c>
      <c r="J9" s="1"/>
      <c r="K9" s="1"/>
      <c r="L9" s="1">
        <f>PRODUCT(Tabela_Schody[[#This Row],[h '[m']]],Tabela_Schody[[#This Row],[A '[m2']]])</f>
        <v>1.0680757599999999</v>
      </c>
      <c r="M9" s="1">
        <f>PRODUCT(Tabela_Schody[[#This Row],[Szt.]],Tabela_Schody[[#This Row],[Vj '[m3']]])</f>
        <v>3.2042272799999996</v>
      </c>
      <c r="N9" s="1"/>
      <c r="O9" s="1"/>
    </row>
    <row r="10" spans="2:15" ht="15.75" customHeight="1" x14ac:dyDescent="0.3">
      <c r="B10" t="s">
        <v>303</v>
      </c>
      <c r="C10" t="s">
        <v>365</v>
      </c>
      <c r="D10">
        <v>3</v>
      </c>
      <c r="E10" t="s">
        <v>307</v>
      </c>
      <c r="G10">
        <v>1.25</v>
      </c>
      <c r="H10" s="1"/>
      <c r="I10" s="1">
        <v>0.95176731000000003</v>
      </c>
      <c r="J10" s="1"/>
      <c r="K10" s="1"/>
      <c r="L10" s="1">
        <f>PRODUCT(Tabela_Schody[[#This Row],[h '[m']]],Tabela_Schody[[#This Row],[A '[m2']]])</f>
        <v>0.95176731000000003</v>
      </c>
      <c r="M10" s="1">
        <f>PRODUCT(Tabela_Schody[[#This Row],[Szt.]],Tabela_Schody[[#This Row],[Vj '[m3']]])</f>
        <v>2.85530193</v>
      </c>
      <c r="N10" s="1"/>
      <c r="O10" s="1"/>
    </row>
    <row r="11" spans="2:15" ht="15.75" customHeight="1" x14ac:dyDescent="0.3">
      <c r="B11" t="s">
        <v>303</v>
      </c>
      <c r="C11" t="s">
        <v>366</v>
      </c>
      <c r="D11">
        <v>3</v>
      </c>
      <c r="E11" t="s">
        <v>308</v>
      </c>
      <c r="G11">
        <v>1.25</v>
      </c>
      <c r="H11" s="1"/>
      <c r="I11" s="1">
        <v>1.0303316300000001</v>
      </c>
      <c r="J11" s="1"/>
      <c r="K11" s="1"/>
      <c r="L11" s="1">
        <f>PRODUCT(Tabela_Schody[[#This Row],[h '[m']]],Tabela_Schody[[#This Row],[A '[m2']]])</f>
        <v>1.0303316300000001</v>
      </c>
      <c r="M11" s="1">
        <f>PRODUCT(Tabela_Schody[[#This Row],[Szt.]],Tabela_Schody[[#This Row],[Vj '[m3']]])</f>
        <v>3.0909948900000002</v>
      </c>
      <c r="N11" s="1"/>
      <c r="O11" s="1"/>
    </row>
    <row r="12" spans="2:15" ht="15.75" customHeight="1" x14ac:dyDescent="0.3">
      <c r="B12" t="s">
        <v>303</v>
      </c>
      <c r="C12" t="s">
        <v>366</v>
      </c>
      <c r="D12">
        <v>3</v>
      </c>
      <c r="E12" t="s">
        <v>307</v>
      </c>
      <c r="G12">
        <v>1.25</v>
      </c>
      <c r="H12" s="1"/>
      <c r="I12" s="1">
        <v>0.95176731000000003</v>
      </c>
      <c r="J12" s="1"/>
      <c r="K12" s="1"/>
      <c r="L12" s="1">
        <f>PRODUCT(Tabela_Schody[[#This Row],[h '[m']]],Tabela_Schody[[#This Row],[A '[m2']]])</f>
        <v>0.95176731000000003</v>
      </c>
      <c r="M12" s="1">
        <f>PRODUCT(Tabela_Schody[[#This Row],[Szt.]],Tabela_Schody[[#This Row],[Vj '[m3']]])</f>
        <v>2.85530193</v>
      </c>
      <c r="N12" s="1"/>
      <c r="O12" s="1"/>
    </row>
    <row r="13" spans="2:15" ht="15.75" customHeight="1" x14ac:dyDescent="0.3">
      <c r="B13" t="s">
        <v>303</v>
      </c>
      <c r="C13" t="s">
        <v>367</v>
      </c>
      <c r="D13">
        <v>3</v>
      </c>
      <c r="E13" t="s">
        <v>308</v>
      </c>
      <c r="G13">
        <v>1.25</v>
      </c>
      <c r="H13" s="1"/>
      <c r="I13" s="1">
        <v>1.0303316300000001</v>
      </c>
      <c r="J13" s="1"/>
      <c r="K13" s="1"/>
      <c r="L13" s="1">
        <f>PRODUCT(Tabela_Schody[[#This Row],[h '[m']]],Tabela_Schody[[#This Row],[A '[m2']]])</f>
        <v>1.0303316300000001</v>
      </c>
      <c r="M13" s="1">
        <f>PRODUCT(Tabela_Schody[[#This Row],[Szt.]],Tabela_Schody[[#This Row],[Vj '[m3']]])</f>
        <v>3.0909948900000002</v>
      </c>
      <c r="N13" s="1"/>
      <c r="O13" s="1"/>
    </row>
    <row r="14" spans="2:15" ht="15.75" customHeight="1" x14ac:dyDescent="0.3">
      <c r="B14" t="s">
        <v>303</v>
      </c>
      <c r="C14" t="s">
        <v>367</v>
      </c>
      <c r="D14">
        <v>3</v>
      </c>
      <c r="E14" t="s">
        <v>307</v>
      </c>
      <c r="G14">
        <v>1.25</v>
      </c>
      <c r="H14" s="1"/>
      <c r="I14" s="1">
        <v>0.95176731000000003</v>
      </c>
      <c r="J14" s="1"/>
      <c r="K14" s="1"/>
      <c r="L14" s="1">
        <f>PRODUCT(Tabela_Schody[[#This Row],[h '[m']]],Tabela_Schody[[#This Row],[A '[m2']]])</f>
        <v>0.95176731000000003</v>
      </c>
      <c r="M14" s="1">
        <f>PRODUCT(Tabela_Schody[[#This Row],[Szt.]],Tabela_Schody[[#This Row],[Vj '[m3']]])</f>
        <v>2.85530193</v>
      </c>
      <c r="N14" s="1"/>
      <c r="O14" s="1"/>
    </row>
    <row r="18" spans="3:5" x14ac:dyDescent="0.3">
      <c r="C18" s="2" t="s">
        <v>67</v>
      </c>
      <c r="D18" t="s">
        <v>255</v>
      </c>
      <c r="E18" t="s">
        <v>69</v>
      </c>
    </row>
    <row r="19" spans="3:5" x14ac:dyDescent="0.3">
      <c r="C19" s="3" t="s">
        <v>294</v>
      </c>
      <c r="D19">
        <v>6</v>
      </c>
      <c r="E19" s="11">
        <v>7.3689815700000008</v>
      </c>
    </row>
    <row r="20" spans="3:5" x14ac:dyDescent="0.3">
      <c r="C20" s="4" t="s">
        <v>304</v>
      </c>
      <c r="D20">
        <v>3</v>
      </c>
      <c r="E20" s="11">
        <v>3.9650955000000003</v>
      </c>
    </row>
    <row r="21" spans="3:5" x14ac:dyDescent="0.3">
      <c r="C21" s="4" t="s">
        <v>305</v>
      </c>
      <c r="D21">
        <v>3</v>
      </c>
      <c r="E21" s="11">
        <v>3.40388607</v>
      </c>
    </row>
    <row r="22" spans="3:5" x14ac:dyDescent="0.3">
      <c r="C22" s="3" t="s">
        <v>225</v>
      </c>
      <c r="D22">
        <v>6</v>
      </c>
      <c r="E22" s="11">
        <v>6.0595292099999991</v>
      </c>
    </row>
    <row r="23" spans="3:5" x14ac:dyDescent="0.3">
      <c r="C23" s="4" t="s">
        <v>306</v>
      </c>
      <c r="D23">
        <v>3</v>
      </c>
      <c r="E23" s="11">
        <v>3.2042272799999996</v>
      </c>
    </row>
    <row r="24" spans="3:5" x14ac:dyDescent="0.3">
      <c r="C24" s="4" t="s">
        <v>307</v>
      </c>
      <c r="D24">
        <v>3</v>
      </c>
      <c r="E24" s="11">
        <v>2.85530193</v>
      </c>
    </row>
    <row r="25" spans="3:5" x14ac:dyDescent="0.3">
      <c r="C25" s="3" t="s">
        <v>226</v>
      </c>
      <c r="D25">
        <v>6</v>
      </c>
      <c r="E25" s="11">
        <v>5.9462968200000006</v>
      </c>
    </row>
    <row r="26" spans="3:5" x14ac:dyDescent="0.3">
      <c r="C26" s="4" t="s">
        <v>307</v>
      </c>
      <c r="D26">
        <v>3</v>
      </c>
      <c r="E26" s="11">
        <v>2.85530193</v>
      </c>
    </row>
    <row r="27" spans="3:5" x14ac:dyDescent="0.3">
      <c r="C27" s="4" t="s">
        <v>308</v>
      </c>
      <c r="D27">
        <v>3</v>
      </c>
      <c r="E27" s="11">
        <v>3.0909948900000002</v>
      </c>
    </row>
    <row r="28" spans="3:5" x14ac:dyDescent="0.3">
      <c r="C28" s="3" t="s">
        <v>243</v>
      </c>
      <c r="D28">
        <v>6</v>
      </c>
      <c r="E28" s="11">
        <v>5.9462968200000006</v>
      </c>
    </row>
    <row r="29" spans="3:5" x14ac:dyDescent="0.3">
      <c r="C29" s="4" t="s">
        <v>307</v>
      </c>
      <c r="D29">
        <v>3</v>
      </c>
      <c r="E29" s="11">
        <v>2.85530193</v>
      </c>
    </row>
    <row r="30" spans="3:5" x14ac:dyDescent="0.3">
      <c r="C30" s="4" t="s">
        <v>308</v>
      </c>
      <c r="D30">
        <v>3</v>
      </c>
      <c r="E30" s="11">
        <v>3.0909948900000002</v>
      </c>
    </row>
    <row r="31" spans="3:5" x14ac:dyDescent="0.3">
      <c r="C31" s="3" t="s">
        <v>68</v>
      </c>
      <c r="D31">
        <v>24</v>
      </c>
      <c r="E31" s="11">
        <v>25.321104420000001</v>
      </c>
    </row>
  </sheetData>
  <phoneticPr fontId="1" type="noConversion"/>
  <pageMargins left="0.7" right="0.7" top="0.75" bottom="0.75" header="0.3" footer="0.3"/>
  <pageSetup paperSize="9" orientation="portrait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B37640-99CD-4C09-AADF-251188DB58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Fundamenty</vt:lpstr>
      <vt:lpstr>Piony 0</vt:lpstr>
      <vt:lpstr>Belki nad 0</vt:lpstr>
      <vt:lpstr>Strop nad 0</vt:lpstr>
      <vt:lpstr>Piony nadziemia</vt:lpstr>
      <vt:lpstr>Belki nadziemia</vt:lpstr>
      <vt:lpstr>Stropy nadziemia</vt:lpstr>
      <vt:lpstr>Szyby windowe</vt:lpstr>
      <vt:lpstr>Biegi schodowe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Olechnowicz</dc:creator>
  <cp:lastModifiedBy>Łukasz Olechnowicz</cp:lastModifiedBy>
  <cp:lastPrinted>2025-12-22T20:19:00Z</cp:lastPrinted>
  <dcterms:created xsi:type="dcterms:W3CDTF">2025-12-13T16:41:04Z</dcterms:created>
  <dcterms:modified xsi:type="dcterms:W3CDTF">2026-01-08T20:51:19Z</dcterms:modified>
</cp:coreProperties>
</file>