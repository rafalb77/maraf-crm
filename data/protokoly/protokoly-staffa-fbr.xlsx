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nra\Desktop\Konrad Praca\Firma  Rafał Banaszczyk\Zgierz, Staffa\MARAF\Protokoły przerobowe\Kwiecień 2026\"/>
    </mc:Choice>
  </mc:AlternateContent>
  <xr:revisionPtr revIDLastSave="0" documentId="13_ncr:1_{23917F6A-DAC0-4761-BD9D-FD11584011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tokół 23-04-2026 " sheetId="29" r:id="rId1"/>
    <sheet name="Protokół 18-03-2026" sheetId="30" r:id="rId2"/>
    <sheet name="Protokół 18-02-2026" sheetId="27" r:id="rId3"/>
    <sheet name="Protokół 31-12-2025" sheetId="26" r:id="rId4"/>
    <sheet name="Protokół 30-11-2025" sheetId="25" r:id="rId5"/>
    <sheet name="Protokół 30-10-2025" sheetId="24" r:id="rId6"/>
    <sheet name="Protokół 30-09-2025" sheetId="23" r:id="rId7"/>
  </sheets>
  <definedNames>
    <definedName name="_xlnm.Print_Area" localSheetId="2">'Protokół 18-02-2026'!$A$1:$L$53</definedName>
    <definedName name="_xlnm.Print_Area" localSheetId="1">'Protokół 18-03-2026'!$A$1:$L$64</definedName>
    <definedName name="_xlnm.Print_Area" localSheetId="0">'Protokół 23-04-2026 '!$A$1:$L$77</definedName>
    <definedName name="_xlnm.Print_Area" localSheetId="6">'Protokół 30-09-2025'!$A$1:$M$31</definedName>
    <definedName name="_xlnm.Print_Area" localSheetId="5">'Protokół 30-10-2025'!$A$1:$K$35</definedName>
    <definedName name="_xlnm.Print_Area" localSheetId="4">'Protokół 30-11-2025'!$A$1:$J$42</definedName>
    <definedName name="_xlnm.Print_Area" localSheetId="3">'Protokół 31-12-2025'!$A$1:$J$45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5" i="30" l="1"/>
  <c r="J55" i="30"/>
  <c r="G55" i="30"/>
  <c r="I55" i="30" s="1"/>
  <c r="J53" i="30"/>
  <c r="G53" i="30"/>
  <c r="K53" i="30" s="1"/>
  <c r="J52" i="30"/>
  <c r="E52" i="30"/>
  <c r="G52" i="30" s="1"/>
  <c r="K51" i="30"/>
  <c r="J51" i="30"/>
  <c r="G51" i="30"/>
  <c r="I51" i="30" s="1"/>
  <c r="J49" i="30"/>
  <c r="G49" i="30"/>
  <c r="K49" i="30" s="1"/>
  <c r="J48" i="30"/>
  <c r="G48" i="30"/>
  <c r="K48" i="30" s="1"/>
  <c r="E48" i="30"/>
  <c r="J47" i="30"/>
  <c r="G47" i="30"/>
  <c r="K47" i="30" s="1"/>
  <c r="J46" i="30"/>
  <c r="E46" i="30"/>
  <c r="G46" i="30" s="1"/>
  <c r="K45" i="30"/>
  <c r="J45" i="30"/>
  <c r="G45" i="30"/>
  <c r="I45" i="30" s="1"/>
  <c r="J44" i="30"/>
  <c r="E44" i="30"/>
  <c r="G44" i="30" s="1"/>
  <c r="J43" i="30"/>
  <c r="G43" i="30"/>
  <c r="I43" i="30" s="1"/>
  <c r="K42" i="30"/>
  <c r="J42" i="30"/>
  <c r="G42" i="30"/>
  <c r="I42" i="30" s="1"/>
  <c r="J41" i="30"/>
  <c r="G41" i="30"/>
  <c r="K41" i="30" s="1"/>
  <c r="J40" i="30"/>
  <c r="I40" i="30"/>
  <c r="N40" i="30" s="1"/>
  <c r="G40" i="30"/>
  <c r="K40" i="30" s="1"/>
  <c r="J39" i="30"/>
  <c r="G39" i="30"/>
  <c r="K39" i="30" s="1"/>
  <c r="J38" i="30"/>
  <c r="G38" i="30"/>
  <c r="N38" i="30" s="1"/>
  <c r="J37" i="30"/>
  <c r="E37" i="30"/>
  <c r="G37" i="30" s="1"/>
  <c r="N36" i="30"/>
  <c r="J36" i="30"/>
  <c r="G36" i="30"/>
  <c r="K36" i="30" s="1"/>
  <c r="J35" i="30"/>
  <c r="G35" i="30"/>
  <c r="I35" i="30" s="1"/>
  <c r="K34" i="30"/>
  <c r="J34" i="30"/>
  <c r="G34" i="30"/>
  <c r="I34" i="30" s="1"/>
  <c r="J33" i="30"/>
  <c r="G33" i="30"/>
  <c r="K33" i="30" s="1"/>
  <c r="J32" i="30"/>
  <c r="G32" i="30"/>
  <c r="I32" i="30" s="1"/>
  <c r="K31" i="30"/>
  <c r="J31" i="30"/>
  <c r="G31" i="30"/>
  <c r="I31" i="30" s="1"/>
  <c r="J30" i="30"/>
  <c r="G30" i="30"/>
  <c r="K30" i="30" s="1"/>
  <c r="J28" i="30"/>
  <c r="I28" i="30"/>
  <c r="G28" i="30"/>
  <c r="K28" i="30" s="1"/>
  <c r="D28" i="30"/>
  <c r="G27" i="30"/>
  <c r="K27" i="30" s="1"/>
  <c r="D27" i="30"/>
  <c r="J27" i="30" s="1"/>
  <c r="J26" i="30"/>
  <c r="G26" i="30"/>
  <c r="I26" i="30" s="1"/>
  <c r="K25" i="30"/>
  <c r="J25" i="30"/>
  <c r="G25" i="30"/>
  <c r="I25" i="30" s="1"/>
  <c r="J24" i="30"/>
  <c r="G24" i="30"/>
  <c r="K24" i="30" s="1"/>
  <c r="J23" i="30"/>
  <c r="G23" i="30"/>
  <c r="I23" i="30" s="1"/>
  <c r="K22" i="30"/>
  <c r="J22" i="30"/>
  <c r="G22" i="30"/>
  <c r="I22" i="30" s="1"/>
  <c r="J21" i="30"/>
  <c r="G21" i="30"/>
  <c r="K21" i="30" s="1"/>
  <c r="J20" i="30"/>
  <c r="J56" i="30" s="1"/>
  <c r="G20" i="30"/>
  <c r="K20" i="30" s="1"/>
  <c r="K19" i="30"/>
  <c r="J19" i="30"/>
  <c r="G19" i="30"/>
  <c r="I19" i="30" s="1"/>
  <c r="J18" i="30"/>
  <c r="G18" i="30"/>
  <c r="K18" i="30" s="1"/>
  <c r="K46" i="30" l="1"/>
  <c r="I46" i="30"/>
  <c r="I52" i="30"/>
  <c r="K52" i="30"/>
  <c r="K37" i="30"/>
  <c r="I37" i="30"/>
  <c r="K44" i="30"/>
  <c r="I44" i="30"/>
  <c r="N49" i="30"/>
  <c r="I20" i="30"/>
  <c r="K23" i="30"/>
  <c r="K56" i="30" s="1"/>
  <c r="K32" i="30"/>
  <c r="K35" i="30"/>
  <c r="I38" i="30"/>
  <c r="K43" i="30"/>
  <c r="K26" i="30"/>
  <c r="I30" i="30"/>
  <c r="M30" i="30" s="1"/>
  <c r="I49" i="30"/>
  <c r="I18" i="30"/>
  <c r="I21" i="30"/>
  <c r="I24" i="30"/>
  <c r="M24" i="30" s="1"/>
  <c r="I33" i="30"/>
  <c r="I36" i="30"/>
  <c r="K38" i="30"/>
  <c r="I41" i="30"/>
  <c r="I53" i="30"/>
  <c r="I27" i="30"/>
  <c r="I47" i="30"/>
  <c r="I39" i="30"/>
  <c r="I48" i="30"/>
  <c r="J68" i="29" l="1"/>
  <c r="G68" i="29"/>
  <c r="K68" i="29" s="1"/>
  <c r="J67" i="29"/>
  <c r="G67" i="29"/>
  <c r="I67" i="29" s="1"/>
  <c r="J66" i="29"/>
  <c r="G66" i="29"/>
  <c r="K66" i="29" s="1"/>
  <c r="J65" i="29"/>
  <c r="G65" i="29"/>
  <c r="I65" i="29" s="1"/>
  <c r="J64" i="29"/>
  <c r="G64" i="29"/>
  <c r="I64" i="29" s="1"/>
  <c r="J63" i="29"/>
  <c r="G63" i="29"/>
  <c r="K63" i="29" s="1"/>
  <c r="J62" i="29"/>
  <c r="G62" i="29"/>
  <c r="K62" i="29" s="1"/>
  <c r="J61" i="29"/>
  <c r="G61" i="29"/>
  <c r="K61" i="29" s="1"/>
  <c r="J60" i="29"/>
  <c r="E60" i="29"/>
  <c r="G60" i="29" s="1"/>
  <c r="K60" i="29" s="1"/>
  <c r="J59" i="29"/>
  <c r="G59" i="29"/>
  <c r="K59" i="29" s="1"/>
  <c r="J58" i="29"/>
  <c r="G58" i="29"/>
  <c r="I58" i="29" s="1"/>
  <c r="J57" i="29"/>
  <c r="G57" i="29"/>
  <c r="K57" i="29" s="1"/>
  <c r="J56" i="29"/>
  <c r="G56" i="29"/>
  <c r="I56" i="29" s="1"/>
  <c r="J55" i="29"/>
  <c r="G55" i="29"/>
  <c r="I55" i="29" s="1"/>
  <c r="J54" i="29"/>
  <c r="G54" i="29"/>
  <c r="K54" i="29" s="1"/>
  <c r="J53" i="29"/>
  <c r="G53" i="29"/>
  <c r="K53" i="29" s="1"/>
  <c r="J52" i="29"/>
  <c r="E52" i="29"/>
  <c r="G52" i="29" s="1"/>
  <c r="J51" i="29"/>
  <c r="G51" i="29"/>
  <c r="K51" i="29" s="1"/>
  <c r="J49" i="29"/>
  <c r="G49" i="29"/>
  <c r="K49" i="29" s="1"/>
  <c r="J48" i="29"/>
  <c r="E48" i="29"/>
  <c r="G48" i="29" s="1"/>
  <c r="J47" i="29"/>
  <c r="G47" i="29"/>
  <c r="I47" i="29" s="1"/>
  <c r="J46" i="29"/>
  <c r="E46" i="29"/>
  <c r="G46" i="29" s="1"/>
  <c r="J45" i="29"/>
  <c r="G45" i="29"/>
  <c r="K45" i="29" s="1"/>
  <c r="J44" i="29"/>
  <c r="E44" i="29"/>
  <c r="G44" i="29" s="1"/>
  <c r="J43" i="29"/>
  <c r="G43" i="29"/>
  <c r="I43" i="29" s="1"/>
  <c r="J42" i="29"/>
  <c r="G42" i="29"/>
  <c r="K42" i="29" s="1"/>
  <c r="J41" i="29"/>
  <c r="G41" i="29"/>
  <c r="K41" i="29" s="1"/>
  <c r="J40" i="29"/>
  <c r="G40" i="29"/>
  <c r="K40" i="29" s="1"/>
  <c r="J39" i="29"/>
  <c r="G39" i="29"/>
  <c r="K39" i="29" s="1"/>
  <c r="J38" i="29"/>
  <c r="G38" i="29"/>
  <c r="I38" i="29" s="1"/>
  <c r="J37" i="29"/>
  <c r="E37" i="29"/>
  <c r="G37" i="29" s="1"/>
  <c r="K37" i="29" s="1"/>
  <c r="J36" i="29"/>
  <c r="G36" i="29"/>
  <c r="K36" i="29" s="1"/>
  <c r="J35" i="29"/>
  <c r="G35" i="29"/>
  <c r="K35" i="29" s="1"/>
  <c r="J34" i="29"/>
  <c r="G34" i="29"/>
  <c r="K34" i="29" s="1"/>
  <c r="J33" i="29"/>
  <c r="G33" i="29"/>
  <c r="K33" i="29" s="1"/>
  <c r="J32" i="29"/>
  <c r="G32" i="29"/>
  <c r="I32" i="29" s="1"/>
  <c r="J31" i="29"/>
  <c r="G31" i="29"/>
  <c r="K31" i="29" s="1"/>
  <c r="J30" i="29"/>
  <c r="G30" i="29"/>
  <c r="I30" i="29" s="1"/>
  <c r="G28" i="29"/>
  <c r="D28" i="29"/>
  <c r="J28" i="29" s="1"/>
  <c r="G27" i="29"/>
  <c r="I27" i="29" s="1"/>
  <c r="D27" i="29"/>
  <c r="J27" i="29" s="1"/>
  <c r="J26" i="29"/>
  <c r="G26" i="29"/>
  <c r="I26" i="29" s="1"/>
  <c r="J25" i="29"/>
  <c r="G25" i="29"/>
  <c r="K25" i="29" s="1"/>
  <c r="J24" i="29"/>
  <c r="G24" i="29"/>
  <c r="K24" i="29" s="1"/>
  <c r="J23" i="29"/>
  <c r="G23" i="29"/>
  <c r="K23" i="29" s="1"/>
  <c r="J22" i="29"/>
  <c r="G22" i="29"/>
  <c r="K22" i="29" s="1"/>
  <c r="J21" i="29"/>
  <c r="G21" i="29"/>
  <c r="K21" i="29" s="1"/>
  <c r="J20" i="29"/>
  <c r="G20" i="29"/>
  <c r="K20" i="29" s="1"/>
  <c r="J19" i="29"/>
  <c r="G19" i="29"/>
  <c r="K19" i="29" s="1"/>
  <c r="J18" i="29"/>
  <c r="G18" i="29"/>
  <c r="I18" i="29" s="1"/>
  <c r="N40" i="27"/>
  <c r="N36" i="27"/>
  <c r="G42" i="27"/>
  <c r="I42" i="27"/>
  <c r="J42" i="27"/>
  <c r="K42" i="27"/>
  <c r="G43" i="27"/>
  <c r="I43" i="27"/>
  <c r="J43" i="27"/>
  <c r="K43" i="27"/>
  <c r="E39" i="27"/>
  <c r="E37" i="27"/>
  <c r="G37" i="27" s="1"/>
  <c r="J37" i="27"/>
  <c r="G38" i="27"/>
  <c r="N38" i="27" s="1"/>
  <c r="N43" i="27" s="1"/>
  <c r="J38" i="27"/>
  <c r="G39" i="27"/>
  <c r="J39" i="27"/>
  <c r="G40" i="27"/>
  <c r="J40" i="27"/>
  <c r="G41" i="27"/>
  <c r="J41" i="27"/>
  <c r="J36" i="27"/>
  <c r="G31" i="27"/>
  <c r="G32" i="27"/>
  <c r="G33" i="27"/>
  <c r="G34" i="27"/>
  <c r="K34" i="27" s="1"/>
  <c r="G35" i="27"/>
  <c r="G36" i="27"/>
  <c r="G44" i="27"/>
  <c r="G30" i="27"/>
  <c r="G19" i="27"/>
  <c r="G20" i="27"/>
  <c r="G21" i="27"/>
  <c r="G22" i="27"/>
  <c r="G23" i="27"/>
  <c r="G24" i="27"/>
  <c r="G25" i="27"/>
  <c r="G26" i="27"/>
  <c r="G27" i="27"/>
  <c r="G28" i="27"/>
  <c r="G18" i="27"/>
  <c r="K44" i="27"/>
  <c r="J44" i="27"/>
  <c r="I44" i="27"/>
  <c r="J35" i="27"/>
  <c r="J34" i="27"/>
  <c r="I34" i="27"/>
  <c r="K33" i="27"/>
  <c r="J33" i="27"/>
  <c r="I33" i="27"/>
  <c r="K32" i="27"/>
  <c r="J32" i="27"/>
  <c r="I32" i="27"/>
  <c r="K31" i="27"/>
  <c r="J31" i="27"/>
  <c r="I31" i="27"/>
  <c r="K30" i="27"/>
  <c r="J30" i="27"/>
  <c r="I30" i="27"/>
  <c r="M30" i="27" s="1"/>
  <c r="I28" i="27"/>
  <c r="D28" i="27"/>
  <c r="I27" i="27"/>
  <c r="D27" i="27"/>
  <c r="K26" i="27"/>
  <c r="J26" i="27"/>
  <c r="I26" i="27"/>
  <c r="K25" i="27"/>
  <c r="J25" i="27"/>
  <c r="I25" i="27"/>
  <c r="K24" i="27"/>
  <c r="J24" i="27"/>
  <c r="I24" i="27"/>
  <c r="M24" i="27" s="1"/>
  <c r="K23" i="27"/>
  <c r="J23" i="27"/>
  <c r="I23" i="27"/>
  <c r="K22" i="27"/>
  <c r="J22" i="27"/>
  <c r="I22" i="27"/>
  <c r="K21" i="27"/>
  <c r="J21" i="27"/>
  <c r="I21" i="27"/>
  <c r="K20" i="27"/>
  <c r="J20" i="27"/>
  <c r="I20" i="27"/>
  <c r="K19" i="27"/>
  <c r="J19" i="27"/>
  <c r="I19" i="27"/>
  <c r="J18" i="27"/>
  <c r="L34" i="25"/>
  <c r="K34" i="25"/>
  <c r="E35" i="26"/>
  <c r="I35" i="29" l="1"/>
  <c r="K55" i="29"/>
  <c r="I25" i="29"/>
  <c r="K64" i="29"/>
  <c r="I20" i="29"/>
  <c r="I52" i="29"/>
  <c r="K52" i="29"/>
  <c r="I45" i="29"/>
  <c r="I61" i="29"/>
  <c r="K32" i="29"/>
  <c r="I57" i="29"/>
  <c r="I54" i="29"/>
  <c r="K26" i="29"/>
  <c r="I23" i="29"/>
  <c r="K38" i="29"/>
  <c r="K43" i="29"/>
  <c r="K67" i="29"/>
  <c r="K28" i="29"/>
  <c r="K58" i="29"/>
  <c r="I46" i="29"/>
  <c r="K46" i="29"/>
  <c r="J69" i="29"/>
  <c r="I44" i="29"/>
  <c r="K44" i="29"/>
  <c r="K48" i="29"/>
  <c r="I48" i="29"/>
  <c r="I21" i="29"/>
  <c r="I36" i="29"/>
  <c r="I53" i="29"/>
  <c r="I59" i="29"/>
  <c r="K18" i="29"/>
  <c r="I62" i="29"/>
  <c r="I39" i="29"/>
  <c r="K56" i="29"/>
  <c r="I19" i="29"/>
  <c r="I22" i="29"/>
  <c r="K27" i="29"/>
  <c r="I31" i="29"/>
  <c r="I34" i="29"/>
  <c r="I42" i="29"/>
  <c r="K47" i="29"/>
  <c r="I51" i="29"/>
  <c r="K65" i="29"/>
  <c r="I33" i="29"/>
  <c r="I41" i="29"/>
  <c r="K30" i="29"/>
  <c r="I37" i="29"/>
  <c r="I60" i="29"/>
  <c r="I63" i="29"/>
  <c r="I66" i="29"/>
  <c r="I68" i="29"/>
  <c r="I28" i="29"/>
  <c r="I40" i="29"/>
  <c r="I49" i="29"/>
  <c r="I24" i="29"/>
  <c r="K37" i="27"/>
  <c r="I37" i="27"/>
  <c r="I39" i="27"/>
  <c r="K39" i="27"/>
  <c r="I41" i="27"/>
  <c r="K41" i="27"/>
  <c r="I40" i="27"/>
  <c r="K40" i="27"/>
  <c r="I38" i="27"/>
  <c r="K38" i="27"/>
  <c r="K36" i="27"/>
  <c r="I36" i="27"/>
  <c r="I18" i="27"/>
  <c r="K18" i="27"/>
  <c r="K35" i="27"/>
  <c r="I35" i="27"/>
  <c r="J28" i="27"/>
  <c r="K28" i="27"/>
  <c r="K27" i="27"/>
  <c r="J27" i="27"/>
  <c r="J45" i="27" s="1"/>
  <c r="G33" i="26"/>
  <c r="H33" i="26"/>
  <c r="I33" i="26"/>
  <c r="G35" i="26"/>
  <c r="H35" i="26"/>
  <c r="I35" i="26"/>
  <c r="G36" i="26"/>
  <c r="H36" i="26"/>
  <c r="I36" i="26"/>
  <c r="K39" i="26"/>
  <c r="I34" i="26"/>
  <c r="H34" i="26"/>
  <c r="G34" i="26"/>
  <c r="H32" i="26"/>
  <c r="I32" i="26"/>
  <c r="I31" i="26"/>
  <c r="H31" i="26"/>
  <c r="G31" i="26"/>
  <c r="I30" i="26"/>
  <c r="H30" i="26"/>
  <c r="G30" i="26"/>
  <c r="K30" i="26" s="1"/>
  <c r="D28" i="26"/>
  <c r="H28" i="26" s="1"/>
  <c r="D27" i="26"/>
  <c r="H27" i="26" s="1"/>
  <c r="H26" i="26"/>
  <c r="I26" i="26"/>
  <c r="I25" i="26"/>
  <c r="H25" i="26"/>
  <c r="G25" i="26"/>
  <c r="I24" i="26"/>
  <c r="H24" i="26"/>
  <c r="G24" i="26"/>
  <c r="K24" i="26" s="1"/>
  <c r="I23" i="26"/>
  <c r="H23" i="26"/>
  <c r="G23" i="26"/>
  <c r="I22" i="26"/>
  <c r="H22" i="26"/>
  <c r="G22" i="26"/>
  <c r="I21" i="26"/>
  <c r="H21" i="26"/>
  <c r="G21" i="26"/>
  <c r="I20" i="26"/>
  <c r="H20" i="26"/>
  <c r="G20" i="26"/>
  <c r="I19" i="26"/>
  <c r="H19" i="26"/>
  <c r="G19" i="26"/>
  <c r="I18" i="26"/>
  <c r="H18" i="26"/>
  <c r="G18" i="26"/>
  <c r="E5" i="26"/>
  <c r="D28" i="25"/>
  <c r="K30" i="25"/>
  <c r="K24" i="25"/>
  <c r="K69" i="29" l="1"/>
  <c r="K45" i="27"/>
  <c r="I37" i="26"/>
  <c r="H37" i="26"/>
  <c r="I28" i="26"/>
  <c r="I27" i="26"/>
  <c r="G28" i="26"/>
  <c r="G27" i="26"/>
  <c r="G32" i="26"/>
  <c r="G26" i="26"/>
  <c r="D27" i="25"/>
  <c r="E32" i="25"/>
  <c r="E28" i="25"/>
  <c r="E27" i="25"/>
  <c r="E26" i="25"/>
  <c r="L41" i="26" l="1"/>
  <c r="M41" i="26" s="1"/>
  <c r="L46" i="26"/>
  <c r="K45" i="26"/>
  <c r="L45" i="26" s="1"/>
  <c r="M45" i="26" s="1"/>
  <c r="K42" i="26"/>
  <c r="K41" i="26"/>
  <c r="G26" i="25"/>
  <c r="H26" i="25"/>
  <c r="I26" i="25"/>
  <c r="G27" i="25"/>
  <c r="H27" i="25"/>
  <c r="I27" i="25"/>
  <c r="G28" i="25"/>
  <c r="H28" i="25"/>
  <c r="I28" i="25"/>
  <c r="G30" i="25"/>
  <c r="H30" i="25"/>
  <c r="I30" i="25"/>
  <c r="G31" i="25"/>
  <c r="H31" i="25"/>
  <c r="I31" i="25"/>
  <c r="G32" i="25"/>
  <c r="H32" i="25"/>
  <c r="I32" i="25"/>
  <c r="G33" i="25"/>
  <c r="H33" i="25"/>
  <c r="I33" i="25"/>
  <c r="H25" i="25"/>
  <c r="G24" i="25"/>
  <c r="H23" i="25"/>
  <c r="H22" i="25"/>
  <c r="H21" i="25"/>
  <c r="H20" i="25"/>
  <c r="H19" i="25"/>
  <c r="G18" i="25"/>
  <c r="G25" i="25"/>
  <c r="I24" i="25"/>
  <c r="H24" i="25"/>
  <c r="I23" i="25"/>
  <c r="I22" i="25"/>
  <c r="I21" i="25"/>
  <c r="I20" i="25"/>
  <c r="I19" i="25"/>
  <c r="I18" i="25"/>
  <c r="E5" i="25"/>
  <c r="E22" i="24"/>
  <c r="J22" i="24" s="1"/>
  <c r="E25" i="24"/>
  <c r="I19" i="24"/>
  <c r="I20" i="24"/>
  <c r="I21" i="24"/>
  <c r="I22" i="24"/>
  <c r="I23" i="24"/>
  <c r="I25" i="24"/>
  <c r="H19" i="24"/>
  <c r="H20" i="24"/>
  <c r="H21" i="24"/>
  <c r="H23" i="24"/>
  <c r="H25" i="24"/>
  <c r="E23" i="24"/>
  <c r="J25" i="24"/>
  <c r="F25" i="24"/>
  <c r="J19" i="24"/>
  <c r="J20" i="24"/>
  <c r="J21" i="24"/>
  <c r="J23" i="24"/>
  <c r="J24" i="24"/>
  <c r="J18" i="24"/>
  <c r="I18" i="24"/>
  <c r="H18" i="24"/>
  <c r="I34" i="25" l="1"/>
  <c r="G19" i="25"/>
  <c r="H18" i="25"/>
  <c r="H34" i="25" s="1"/>
  <c r="G20" i="25"/>
  <c r="G21" i="25"/>
  <c r="G23" i="25"/>
  <c r="G22" i="25"/>
  <c r="I25" i="25"/>
  <c r="H22" i="24"/>
  <c r="E5" i="24" l="1"/>
  <c r="D21" i="23"/>
  <c r="F19" i="23"/>
  <c r="I19" i="23" s="1"/>
  <c r="F21" i="23"/>
  <c r="I21" i="23" s="1"/>
  <c r="H24" i="24" l="1"/>
  <c r="I24" i="24"/>
  <c r="K19" i="23"/>
  <c r="L19" i="23"/>
  <c r="L21" i="23"/>
  <c r="K21" i="23"/>
  <c r="I27" i="24" l="1"/>
  <c r="J27" i="24"/>
  <c r="J23" i="23"/>
  <c r="F20" i="23"/>
  <c r="I20" i="23" s="1"/>
  <c r="L20" i="23" s="1"/>
  <c r="F18" i="23"/>
  <c r="F17" i="23"/>
  <c r="I17" i="23" s="1"/>
  <c r="K17" i="23" s="1"/>
  <c r="K20" i="23" l="1"/>
  <c r="F23" i="23"/>
  <c r="L17" i="23"/>
  <c r="I18" i="23"/>
  <c r="K18" i="23" s="1"/>
  <c r="L18" i="23" l="1"/>
  <c r="K23" i="23"/>
  <c r="I23" i="23"/>
  <c r="L23" i="23" l="1"/>
</calcChain>
</file>

<file path=xl/sharedStrings.xml><?xml version="1.0" encoding="utf-8"?>
<sst xmlns="http://schemas.openxmlformats.org/spreadsheetml/2006/main" count="789" uniqueCount="132">
  <si>
    <t xml:space="preserve">Zamawiający: </t>
  </si>
  <si>
    <t>Odbioru dokonuje się przy udziale przedstawicieli :</t>
  </si>
  <si>
    <t>Nr pozycji wg 
zakresu robót</t>
  </si>
  <si>
    <t>1.</t>
  </si>
  <si>
    <t>2.</t>
  </si>
  <si>
    <t>3.</t>
  </si>
  <si>
    <t>4.</t>
  </si>
  <si>
    <t>5.</t>
  </si>
  <si>
    <t>Nr. 1</t>
  </si>
  <si>
    <t>z dnia</t>
  </si>
  <si>
    <t>Wykonawca :</t>
  </si>
  <si>
    <t>WYKONAWCA</t>
  </si>
  <si>
    <t>KIEROWNIK BUDOWY</t>
  </si>
  <si>
    <t xml:space="preserve">Umowa z dnia : </t>
  </si>
  <si>
    <t>Zakres robót :</t>
  </si>
  <si>
    <t>Konrad Banaszczyk</t>
  </si>
  <si>
    <t>Potwierdzenie rodzajów i jakości odebranych robót w okresie rozliczeniowym</t>
  </si>
  <si>
    <t>Rodzaj prac</t>
  </si>
  <si>
    <t>Uwagi ogólne :</t>
  </si>
  <si>
    <t xml:space="preserve"> </t>
  </si>
  <si>
    <t>Roboty konstrukcyjne</t>
  </si>
  <si>
    <t>Zabetonowanie podkładu pod fundament z "chudego betonu"</t>
  </si>
  <si>
    <t>Jednostka</t>
  </si>
  <si>
    <t>Cena jednostkowa</t>
  </si>
  <si>
    <t>m3</t>
  </si>
  <si>
    <t>Wartość</t>
  </si>
  <si>
    <t>Zaawansowanie
[%]</t>
  </si>
  <si>
    <t>Wartość robót w okresie rozliczeniowym</t>
  </si>
  <si>
    <t>Obmiar</t>
  </si>
  <si>
    <t>Wartośc robót od początku budowy</t>
  </si>
  <si>
    <t>Wartość robót wg poprzedniego protokołu</t>
  </si>
  <si>
    <t>Wartość robót pozostała do wykonania</t>
  </si>
  <si>
    <t>UWAGI</t>
  </si>
  <si>
    <t>RAZEM</t>
  </si>
  <si>
    <t>Zaszalowanie i zabetonowanie ław fundamentowych</t>
  </si>
  <si>
    <t>W związku z uwagami co do szczelności i drożności przewodów kominowych, Wykonawca przekazał oświadczenie stanowiące załącznik do protokołu.</t>
  </si>
  <si>
    <t xml:space="preserve">„MARAF” Spółka z ograniczoną odpowiedzialnością </t>
  </si>
  <si>
    <r>
      <t xml:space="preserve">PROTOKÓŁ ODBIORU
</t>
    </r>
    <r>
      <rPr>
        <b/>
        <u/>
        <sz val="11"/>
        <color theme="1"/>
        <rFont val="Calibri"/>
        <family val="2"/>
        <charset val="238"/>
        <scheme val="minor"/>
      </rPr>
      <t>CZĘŚCIOWEGO</t>
    </r>
    <r>
      <rPr>
        <b/>
        <sz val="11"/>
        <color theme="1"/>
        <rFont val="Calibri"/>
        <family val="2"/>
        <charset val="238"/>
        <scheme val="minor"/>
      </rPr>
      <t xml:space="preserve">
 ROBÓT 
WYKONAWCY</t>
    </r>
  </si>
  <si>
    <r>
      <t xml:space="preserve">Kontrakt : </t>
    </r>
    <r>
      <rPr>
        <b/>
        <sz val="11"/>
        <color theme="1"/>
        <rFont val="Calibri"/>
        <family val="2"/>
        <charset val="238"/>
        <scheme val="minor"/>
      </rPr>
      <t xml:space="preserve"> 1 etap przedsięwzięcia deweloperskiego pn. „Nova Staffa”, realizowane w Zgierzu przy ul. Bazylijskiej 61 i 63 na działkach 43/1, 44/5, 44/6 obręb 125, na podstawie projektu wykonanego przez biuro projektowe Gradomska Architekci oraz pozwolenia na budowę nr 611/2025 wydanego przez Starostwo Powiatowe w Zgierzu w dniu 2 lipca 2025 r., </t>
    </r>
  </si>
  <si>
    <t>01 września 2025</t>
  </si>
  <si>
    <t>Roboty wykonano w okresie od dnia : 01.09.2025 do dnia 30.09.2025</t>
  </si>
  <si>
    <t>Zgierz, ulica Andrzeja Struga 23</t>
  </si>
  <si>
    <t>NIP: 732 206 99 52</t>
  </si>
  <si>
    <t xml:space="preserve">Rafał Banaszczyk - Firma Budowlano- Remontowa </t>
  </si>
  <si>
    <t>97-320 Wolbórz, Proszenie 55</t>
  </si>
  <si>
    <t>NIP:  771 102 60 32</t>
  </si>
  <si>
    <t>Bogdan Boruch / Rafał Boruch</t>
  </si>
  <si>
    <t>Właściciel</t>
  </si>
  <si>
    <t>Rafał Banaszczyk</t>
  </si>
  <si>
    <t>Zarząd</t>
  </si>
  <si>
    <t>Kierownik Budowy</t>
  </si>
  <si>
    <t>Zaszalowanie i zabetonowanie płyt fundamentowych</t>
  </si>
  <si>
    <t>Zbrojenie z prefabrykacją</t>
  </si>
  <si>
    <t>Zaszalowanie i zabetonowanie stóp fundamentowych</t>
  </si>
  <si>
    <t>T</t>
  </si>
  <si>
    <t>Inwestor</t>
  </si>
  <si>
    <t>Nr. 2</t>
  </si>
  <si>
    <t>do dnia</t>
  </si>
  <si>
    <t>Roboty wykonano w okresie od dnia :</t>
  </si>
  <si>
    <t>FUNDAMENTY</t>
  </si>
  <si>
    <t>Obmiar
prac w okresie rozliczeniowym</t>
  </si>
  <si>
    <t>Obmiar prac
wg poprzednich protokołów</t>
  </si>
  <si>
    <t>Łączna Ilość prac wykonana na dzień sporządzenia protokołu</t>
  </si>
  <si>
    <t>Zaszalowanie i zabetonowanie słupów fundamentowych</t>
  </si>
  <si>
    <t>Zaszalowanie i zabetonowanie ścian fundamentowych</t>
  </si>
  <si>
    <t>m2</t>
  </si>
  <si>
    <t>Zaszalowanie i zabetonowanie słupów fundamentowych - okrągłych</t>
  </si>
  <si>
    <t>mb</t>
  </si>
  <si>
    <t>6.</t>
  </si>
  <si>
    <t>7.</t>
  </si>
  <si>
    <t>8.</t>
  </si>
  <si>
    <t>Nr</t>
  </si>
  <si>
    <t>Zasypanie fundamentów</t>
  </si>
  <si>
    <t>Zabetonowanie podkładu pod posadzkę z "chudego betonu"</t>
  </si>
  <si>
    <t>Wyklejenie ścian fundametnowych styropianem</t>
  </si>
  <si>
    <t>PARTER</t>
  </si>
  <si>
    <t>Zaszalowanie i zabetonowanie ścian parteru</t>
  </si>
  <si>
    <t>Zaszalowanie i zabetonowanie słupów parteru</t>
  </si>
  <si>
    <t>Zaszalowanie i zabetonowanie słupów okrągłych</t>
  </si>
  <si>
    <t>Zbrojenie z prefabrykacją - Parter</t>
  </si>
  <si>
    <t>Zaszalowanie i zazbrojenie trzpieni żelbetowych</t>
  </si>
  <si>
    <t>Murowanie ścian parteru</t>
  </si>
  <si>
    <t>kpl</t>
  </si>
  <si>
    <t>Szalowanie belek i podciągów - około 30% wartości podciągów na parterze</t>
  </si>
  <si>
    <t>9.</t>
  </si>
  <si>
    <t>10.</t>
  </si>
  <si>
    <t>11.</t>
  </si>
  <si>
    <t>Ilość prac do wykonania</t>
  </si>
  <si>
    <t>Zbrojenie z prefabrykacją - Ściany, słupy i rdzenie Parteru</t>
  </si>
  <si>
    <t>Zaszalowanie i zabetonowanie daszków żelbetowych</t>
  </si>
  <si>
    <t>kg</t>
  </si>
  <si>
    <t>Zaszalowanie i zabetonowanie stropu nad parterem</t>
  </si>
  <si>
    <t>Zbrojenie z prefabrykacją stropu nad parterem</t>
  </si>
  <si>
    <t>Zbrojenie z prefabrykacją daszkow żelbetowych</t>
  </si>
  <si>
    <t>Zaszalowanie i zabetonowanie belek żelbetowych</t>
  </si>
  <si>
    <t>Zbrojenie z prefabrykacją belek żelbetowych</t>
  </si>
  <si>
    <t xml:space="preserve">Praca dźwigu </t>
  </si>
  <si>
    <t>12.</t>
  </si>
  <si>
    <t>13.</t>
  </si>
  <si>
    <t>14.</t>
  </si>
  <si>
    <t>Montaż łączników balkonowych</t>
  </si>
  <si>
    <t>Ilość m3 betonu
w okresie rozliczeniowym</t>
  </si>
  <si>
    <t>Protokół odbioru jest protokołem odbioru ilościowego prac i nie jest protokołem odbioru jakościowego. Dla odbioru jakościowego zostanie sporządzony odrębny doument po jego dokonaniu.</t>
  </si>
  <si>
    <t>I Piętro</t>
  </si>
  <si>
    <t>15.</t>
  </si>
  <si>
    <t>16.</t>
  </si>
  <si>
    <t>Zaszalowanie i zabetonowanie balkonów żelbetowych</t>
  </si>
  <si>
    <t>Zbrojenie z prefabrykacją balkonów żelbetowych</t>
  </si>
  <si>
    <r>
      <t xml:space="preserve">Zaszalowanie i zabetonowanie ścian </t>
    </r>
    <r>
      <rPr>
        <b/>
        <sz val="12"/>
        <color theme="1"/>
        <rFont val="Calibri"/>
        <family val="2"/>
        <charset val="238"/>
        <scheme val="minor"/>
      </rPr>
      <t>I Piętra</t>
    </r>
  </si>
  <si>
    <r>
      <t xml:space="preserve">Zbrojenie z prefabrykacją ścian </t>
    </r>
    <r>
      <rPr>
        <b/>
        <sz val="12"/>
        <color theme="1"/>
        <rFont val="Calibri"/>
        <family val="2"/>
        <charset val="238"/>
        <scheme val="minor"/>
      </rPr>
      <t>I Piętra</t>
    </r>
  </si>
  <si>
    <t>17.</t>
  </si>
  <si>
    <t>18.</t>
  </si>
  <si>
    <t>Zabetonowanie schodów żelbetowych</t>
  </si>
  <si>
    <t>stopni</t>
  </si>
  <si>
    <t>Zazbrojenie schodów żelbetowych</t>
  </si>
  <si>
    <t>Zabetonowanie wieńcy na windzie w poziomie stropu nad parterem</t>
  </si>
  <si>
    <t>Zazbrojenie wieńcy na windzie w poziomie stropu nad parterem</t>
  </si>
  <si>
    <t>19.</t>
  </si>
  <si>
    <t>20.</t>
  </si>
  <si>
    <t>Wyklejenie wełny na ścianie dylatacyjnej</t>
  </si>
  <si>
    <r>
      <t xml:space="preserve">Szalowanie i betonowanie belek żelbetowych </t>
    </r>
    <r>
      <rPr>
        <b/>
        <sz val="12"/>
        <color theme="1"/>
        <rFont val="Calibri"/>
        <family val="2"/>
        <charset val="238"/>
        <scheme val="minor"/>
      </rPr>
      <t>I Piętra</t>
    </r>
  </si>
  <si>
    <r>
      <t xml:space="preserve">Zbrojenie Belek </t>
    </r>
    <r>
      <rPr>
        <b/>
        <sz val="12"/>
        <color theme="1"/>
        <rFont val="Calibri"/>
        <family val="2"/>
        <charset val="238"/>
        <scheme val="minor"/>
      </rPr>
      <t>I Piętra</t>
    </r>
  </si>
  <si>
    <r>
      <t xml:space="preserve">Szalowanie i betonowanie wieńcy </t>
    </r>
    <r>
      <rPr>
        <b/>
        <sz val="12"/>
        <color theme="1"/>
        <rFont val="Calibri"/>
        <family val="2"/>
        <charset val="238"/>
        <scheme val="minor"/>
      </rPr>
      <t>I Piętra</t>
    </r>
  </si>
  <si>
    <r>
      <t xml:space="preserve">Zbrojenie wieńcy </t>
    </r>
    <r>
      <rPr>
        <b/>
        <sz val="12"/>
        <color theme="1"/>
        <rFont val="Calibri"/>
        <family val="2"/>
        <charset val="238"/>
        <scheme val="minor"/>
      </rPr>
      <t>I Piętra</t>
    </r>
  </si>
  <si>
    <r>
      <t xml:space="preserve">Szalowanie i betonowanie rdzeni </t>
    </r>
    <r>
      <rPr>
        <b/>
        <sz val="12"/>
        <color theme="1"/>
        <rFont val="Calibri"/>
        <family val="2"/>
        <charset val="238"/>
        <scheme val="minor"/>
      </rPr>
      <t>I Piętra</t>
    </r>
  </si>
  <si>
    <r>
      <t xml:space="preserve">Zbrojenie rdzeni </t>
    </r>
    <r>
      <rPr>
        <b/>
        <sz val="12"/>
        <color theme="1"/>
        <rFont val="Calibri"/>
        <family val="2"/>
        <charset val="238"/>
        <scheme val="minor"/>
      </rPr>
      <t>I Piętra</t>
    </r>
  </si>
  <si>
    <r>
      <t xml:space="preserve">Szalowanie i betonowanie schodów żelbetowych </t>
    </r>
    <r>
      <rPr>
        <b/>
        <sz val="12"/>
        <color theme="1"/>
        <rFont val="Calibri"/>
        <family val="2"/>
        <charset val="238"/>
        <scheme val="minor"/>
      </rPr>
      <t xml:space="preserve"> I Piętra</t>
    </r>
  </si>
  <si>
    <t>Zbrojenie schodów</t>
  </si>
  <si>
    <r>
      <t xml:space="preserve">Szalowanie i betonowanie stropu nad </t>
    </r>
    <r>
      <rPr>
        <b/>
        <sz val="12"/>
        <color theme="1"/>
        <rFont val="Calibri"/>
        <family val="2"/>
        <charset val="238"/>
        <scheme val="minor"/>
      </rPr>
      <t>I Piętrem</t>
    </r>
  </si>
  <si>
    <t>Zbrojenie stropu</t>
  </si>
  <si>
    <r>
      <t xml:space="preserve">Szalowanie i betonowanie balkonów i loggy nad </t>
    </r>
    <r>
      <rPr>
        <b/>
        <sz val="12"/>
        <color theme="1"/>
        <rFont val="Calibri"/>
        <family val="2"/>
        <charset val="238"/>
        <scheme val="minor"/>
      </rPr>
      <t>I Piętrem</t>
    </r>
  </si>
  <si>
    <r>
      <t xml:space="preserve">Zbrojenie balkonów i loggy nad </t>
    </r>
    <r>
      <rPr>
        <b/>
        <sz val="12"/>
        <color theme="1"/>
        <rFont val="Calibri"/>
        <family val="2"/>
        <charset val="238"/>
        <scheme val="minor"/>
      </rPr>
      <t>I Piętrem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</si>
</sst>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zł&quot;_-;\-* #,##0.00\ &quot;zł&quot;_-;_-* &quot;-&quot;??\ &quot;zł&quot;_-;_-@_-"/>
    <numFmt numFmtId="164" formatCode="0.0"/>
    <numFmt numFmtId="165" formatCode="0.0000"/>
  </numFmts>
  <fonts count="1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u val="singleAccounting"/>
      <sz val="12"/>
      <color theme="1"/>
      <name val="Calibri"/>
      <family val="2"/>
      <charset val="238"/>
      <scheme val="minor"/>
    </font>
    <font>
      <b/>
      <u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7" xfId="0" applyFont="1" applyBorder="1"/>
    <xf numFmtId="0" fontId="2" fillId="0" borderId="8" xfId="0" applyFont="1" applyBorder="1"/>
    <xf numFmtId="14" fontId="2" fillId="0" borderId="9" xfId="0" applyNumberFormat="1" applyFont="1" applyBorder="1"/>
    <xf numFmtId="0" fontId="0" fillId="0" borderId="12" xfId="0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44" fontId="0" fillId="0" borderId="0" xfId="1" applyFont="1" applyBorder="1"/>
    <xf numFmtId="0" fontId="0" fillId="0" borderId="11" xfId="0" applyBorder="1"/>
    <xf numFmtId="0" fontId="3" fillId="0" borderId="10" xfId="0" applyFont="1" applyBorder="1"/>
    <xf numFmtId="0" fontId="2" fillId="0" borderId="0" xfId="0" applyFont="1" applyAlignment="1">
      <alignment horizontal="center" vertical="center" wrapText="1"/>
    </xf>
    <xf numFmtId="14" fontId="0" fillId="0" borderId="8" xfId="0" applyNumberFormat="1" applyBorder="1" applyAlignment="1">
      <alignment horizontal="left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 wrapText="1"/>
    </xf>
    <xf numFmtId="0" fontId="0" fillId="0" borderId="10" xfId="0" applyBorder="1"/>
    <xf numFmtId="0" fontId="2" fillId="0" borderId="10" xfId="0" applyFont="1" applyBorder="1"/>
    <xf numFmtId="0" fontId="2" fillId="0" borderId="0" xfId="0" applyFont="1"/>
    <xf numFmtId="0" fontId="0" fillId="0" borderId="15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 wrapText="1"/>
    </xf>
    <xf numFmtId="0" fontId="5" fillId="0" borderId="12" xfId="1" applyNumberFormat="1" applyFont="1" applyBorder="1" applyAlignment="1">
      <alignment horizontal="center" vertical="center"/>
    </xf>
    <xf numFmtId="44" fontId="5" fillId="0" borderId="12" xfId="1" applyFont="1" applyBorder="1" applyAlignment="1">
      <alignment horizontal="center" vertical="center"/>
    </xf>
    <xf numFmtId="9" fontId="5" fillId="0" borderId="12" xfId="2" applyFont="1" applyBorder="1" applyAlignment="1">
      <alignment horizontal="center" vertical="center"/>
    </xf>
    <xf numFmtId="44" fontId="5" fillId="0" borderId="12" xfId="1" applyFont="1" applyBorder="1" applyAlignment="1">
      <alignment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 vertical="center"/>
    </xf>
    <xf numFmtId="0" fontId="6" fillId="2" borderId="18" xfId="2" applyNumberFormat="1" applyFont="1" applyFill="1" applyBorder="1" applyAlignment="1">
      <alignment horizontal="center" vertical="center"/>
    </xf>
    <xf numFmtId="44" fontId="6" fillId="2" borderId="19" xfId="0" applyNumberFormat="1" applyFont="1" applyFill="1" applyBorder="1" applyAlignment="1">
      <alignment horizontal="center"/>
    </xf>
    <xf numFmtId="44" fontId="6" fillId="2" borderId="9" xfId="1" applyFont="1" applyFill="1" applyBorder="1" applyAlignment="1">
      <alignment horizontal="center" vertical="center"/>
    </xf>
    <xf numFmtId="44" fontId="5" fillId="0" borderId="13" xfId="1" applyFont="1" applyBorder="1" applyAlignment="1">
      <alignment horizontal="center" vertical="center"/>
    </xf>
    <xf numFmtId="44" fontId="6" fillId="2" borderId="8" xfId="1" applyFont="1" applyFill="1" applyBorder="1" applyAlignment="1">
      <alignment horizontal="center" vertical="center"/>
    </xf>
    <xf numFmtId="44" fontId="7" fillId="3" borderId="16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44" fontId="5" fillId="0" borderId="14" xfId="1" applyFont="1" applyBorder="1" applyAlignment="1">
      <alignment vertical="center"/>
    </xf>
    <xf numFmtId="0" fontId="2" fillId="0" borderId="21" xfId="0" applyFont="1" applyBorder="1" applyAlignment="1">
      <alignment horizontal="center" vertical="center" wrapText="1"/>
    </xf>
    <xf numFmtId="44" fontId="8" fillId="3" borderId="22" xfId="2" applyNumberFormat="1" applyFont="1" applyFill="1" applyBorder="1" applyAlignment="1">
      <alignment horizontal="center" vertical="center"/>
    </xf>
    <xf numFmtId="0" fontId="5" fillId="0" borderId="12" xfId="2" applyNumberFormat="1" applyFont="1" applyFill="1" applyBorder="1" applyAlignment="1">
      <alignment horizontal="center" vertical="center"/>
    </xf>
    <xf numFmtId="2" fontId="5" fillId="0" borderId="12" xfId="2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right"/>
    </xf>
    <xf numFmtId="14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5" fillId="0" borderId="12" xfId="2" applyNumberFormat="1" applyFont="1" applyBorder="1" applyAlignment="1">
      <alignment horizontal="center" vertical="center"/>
    </xf>
    <xf numFmtId="44" fontId="5" fillId="0" borderId="12" xfId="1" applyFont="1" applyFill="1" applyBorder="1" applyAlignment="1">
      <alignment horizontal="center" vertical="center"/>
    </xf>
    <xf numFmtId="0" fontId="5" fillId="0" borderId="13" xfId="1" applyNumberFormat="1" applyFont="1" applyBorder="1" applyAlignment="1">
      <alignment horizontal="center" vertical="center"/>
    </xf>
    <xf numFmtId="2" fontId="5" fillId="0" borderId="13" xfId="1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5" xfId="1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right"/>
    </xf>
    <xf numFmtId="0" fontId="2" fillId="0" borderId="8" xfId="0" applyFont="1" applyBorder="1" applyAlignment="1">
      <alignment horizontal="left"/>
    </xf>
    <xf numFmtId="14" fontId="2" fillId="0" borderId="9" xfId="0" applyNumberFormat="1" applyFont="1" applyBorder="1" applyAlignment="1">
      <alignment horizontal="left"/>
    </xf>
    <xf numFmtId="0" fontId="6" fillId="3" borderId="18" xfId="0" applyFont="1" applyFill="1" applyBorder="1" applyAlignment="1">
      <alignment horizontal="center" vertical="center"/>
    </xf>
    <xf numFmtId="0" fontId="6" fillId="3" borderId="12" xfId="1" applyNumberFormat="1" applyFont="1" applyFill="1" applyBorder="1" applyAlignment="1">
      <alignment horizontal="center" vertical="center"/>
    </xf>
    <xf numFmtId="44" fontId="5" fillId="0" borderId="26" xfId="1" applyFont="1" applyBorder="1" applyAlignment="1">
      <alignment horizontal="center" vertical="center"/>
    </xf>
    <xf numFmtId="0" fontId="5" fillId="0" borderId="27" xfId="1" applyNumberFormat="1" applyFont="1" applyBorder="1" applyAlignment="1">
      <alignment horizontal="center" vertical="center"/>
    </xf>
    <xf numFmtId="0" fontId="5" fillId="0" borderId="26" xfId="2" applyNumberFormat="1" applyFont="1" applyBorder="1" applyAlignment="1">
      <alignment horizontal="center" vertical="center"/>
    </xf>
    <xf numFmtId="16" fontId="5" fillId="0" borderId="12" xfId="0" applyNumberFormat="1" applyFont="1" applyBorder="1" applyAlignment="1">
      <alignment horizontal="left" vertical="center"/>
    </xf>
    <xf numFmtId="2" fontId="6" fillId="3" borderId="12" xfId="1" applyNumberFormat="1" applyFont="1" applyFill="1" applyBorder="1" applyAlignment="1">
      <alignment horizontal="center" vertical="center"/>
    </xf>
    <xf numFmtId="2" fontId="6" fillId="3" borderId="26" xfId="1" applyNumberFormat="1" applyFont="1" applyFill="1" applyBorder="1" applyAlignment="1">
      <alignment horizontal="center" vertical="center"/>
    </xf>
    <xf numFmtId="44" fontId="8" fillId="3" borderId="28" xfId="2" applyNumberFormat="1" applyFont="1" applyFill="1" applyBorder="1" applyAlignment="1">
      <alignment horizontal="center" vertical="center"/>
    </xf>
    <xf numFmtId="44" fontId="5" fillId="0" borderId="26" xfId="1" applyFont="1" applyBorder="1" applyAlignment="1">
      <alignment vertical="center"/>
    </xf>
    <xf numFmtId="16" fontId="5" fillId="0" borderId="29" xfId="0" applyNumberFormat="1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 wrapText="1"/>
    </xf>
    <xf numFmtId="0" fontId="5" fillId="0" borderId="29" xfId="1" applyNumberFormat="1" applyFont="1" applyBorder="1" applyAlignment="1">
      <alignment horizontal="center" vertical="center"/>
    </xf>
    <xf numFmtId="44" fontId="5" fillId="0" borderId="29" xfId="1" applyFont="1" applyBorder="1" applyAlignment="1">
      <alignment horizontal="center" vertical="center"/>
    </xf>
    <xf numFmtId="0" fontId="6" fillId="3" borderId="29" xfId="1" applyNumberFormat="1" applyFont="1" applyFill="1" applyBorder="1" applyAlignment="1">
      <alignment horizontal="center" vertical="center"/>
    </xf>
    <xf numFmtId="0" fontId="5" fillId="0" borderId="30" xfId="1" applyNumberFormat="1" applyFont="1" applyBorder="1" applyAlignment="1">
      <alignment horizontal="center" vertical="center"/>
    </xf>
    <xf numFmtId="0" fontId="5" fillId="0" borderId="29" xfId="2" applyNumberFormat="1" applyFont="1" applyBorder="1" applyAlignment="1">
      <alignment horizontal="center" vertical="center"/>
    </xf>
    <xf numFmtId="44" fontId="8" fillId="3" borderId="31" xfId="2" applyNumberFormat="1" applyFont="1" applyFill="1" applyBorder="1" applyAlignment="1">
      <alignment horizontal="center" vertical="center"/>
    </xf>
    <xf numFmtId="44" fontId="5" fillId="0" borderId="29" xfId="1" applyFont="1" applyBorder="1" applyAlignment="1">
      <alignment vertical="center"/>
    </xf>
    <xf numFmtId="44" fontId="5" fillId="0" borderId="33" xfId="1" applyFont="1" applyBorder="1" applyAlignment="1">
      <alignment horizontal="center" vertical="center"/>
    </xf>
    <xf numFmtId="44" fontId="8" fillId="3" borderId="16" xfId="2" applyNumberFormat="1" applyFont="1" applyFill="1" applyBorder="1" applyAlignment="1">
      <alignment horizontal="center" vertical="center"/>
    </xf>
    <xf numFmtId="44" fontId="5" fillId="0" borderId="34" xfId="1" applyFont="1" applyBorder="1" applyAlignment="1">
      <alignment vertical="center"/>
    </xf>
    <xf numFmtId="44" fontId="0" fillId="0" borderId="0" xfId="0" applyNumberFormat="1"/>
    <xf numFmtId="9" fontId="5" fillId="0" borderId="12" xfId="1" applyNumberFormat="1" applyFont="1" applyBorder="1" applyAlignment="1">
      <alignment horizontal="center" vertical="center"/>
    </xf>
    <xf numFmtId="2" fontId="5" fillId="0" borderId="29" xfId="2" applyNumberFormat="1" applyFont="1" applyBorder="1" applyAlignment="1">
      <alignment horizontal="center" vertical="center"/>
    </xf>
    <xf numFmtId="2" fontId="5" fillId="0" borderId="12" xfId="2" applyNumberFormat="1" applyFont="1" applyBorder="1" applyAlignment="1">
      <alignment horizontal="center" vertical="center"/>
    </xf>
    <xf numFmtId="2" fontId="5" fillId="0" borderId="12" xfId="1" applyNumberFormat="1" applyFont="1" applyBorder="1" applyAlignment="1">
      <alignment horizontal="center" vertical="center"/>
    </xf>
    <xf numFmtId="44" fontId="5" fillId="0" borderId="33" xfId="1" applyFont="1" applyBorder="1" applyAlignment="1" applyProtection="1">
      <alignment horizontal="center" vertical="center"/>
      <protection locked="0"/>
    </xf>
    <xf numFmtId="44" fontId="0" fillId="0" borderId="0" xfId="1" applyFont="1" applyBorder="1" applyProtection="1">
      <protection locked="0"/>
    </xf>
    <xf numFmtId="0" fontId="0" fillId="0" borderId="0" xfId="0" applyProtection="1">
      <protection locked="0"/>
    </xf>
    <xf numFmtId="0" fontId="0" fillId="4" borderId="21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/>
    </xf>
    <xf numFmtId="0" fontId="0" fillId="4" borderId="22" xfId="0" applyFill="1" applyBorder="1"/>
    <xf numFmtId="0" fontId="0" fillId="4" borderId="22" xfId="0" applyFill="1" applyBorder="1" applyProtection="1">
      <protection locked="0"/>
    </xf>
    <xf numFmtId="164" fontId="0" fillId="4" borderId="22" xfId="0" applyNumberFormat="1" applyFill="1" applyBorder="1"/>
    <xf numFmtId="164" fontId="2" fillId="4" borderId="35" xfId="0" applyNumberFormat="1" applyFont="1" applyFill="1" applyBorder="1"/>
    <xf numFmtId="44" fontId="8" fillId="3" borderId="1" xfId="2" applyNumberFormat="1" applyFont="1" applyFill="1" applyBorder="1" applyAlignment="1" applyProtection="1">
      <alignment horizontal="center" vertical="center"/>
      <protection locked="0"/>
    </xf>
    <xf numFmtId="44" fontId="8" fillId="3" borderId="36" xfId="2" applyNumberFormat="1" applyFont="1" applyFill="1" applyBorder="1" applyAlignment="1">
      <alignment horizontal="center" vertical="center"/>
    </xf>
    <xf numFmtId="44" fontId="8" fillId="3" borderId="37" xfId="2" applyNumberFormat="1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/>
    </xf>
    <xf numFmtId="44" fontId="5" fillId="0" borderId="38" xfId="1" applyFont="1" applyBorder="1" applyAlignment="1">
      <alignment vertical="center"/>
    </xf>
    <xf numFmtId="44" fontId="5" fillId="0" borderId="40" xfId="1" applyFont="1" applyBorder="1" applyAlignment="1">
      <alignment vertical="center"/>
    </xf>
    <xf numFmtId="44" fontId="5" fillId="0" borderId="38" xfId="1" applyFont="1" applyBorder="1" applyAlignment="1" applyProtection="1">
      <alignment vertical="center"/>
      <protection locked="0"/>
    </xf>
    <xf numFmtId="16" fontId="5" fillId="0" borderId="41" xfId="0" applyNumberFormat="1" applyFont="1" applyBorder="1" applyAlignment="1">
      <alignment horizontal="left" vertical="center"/>
    </xf>
    <xf numFmtId="16" fontId="5" fillId="0" borderId="15" xfId="0" applyNumberFormat="1" applyFont="1" applyBorder="1" applyAlignment="1">
      <alignment horizontal="left" vertical="center"/>
    </xf>
    <xf numFmtId="0" fontId="5" fillId="0" borderId="0" xfId="0" applyFont="1"/>
    <xf numFmtId="165" fontId="6" fillId="3" borderId="12" xfId="1" applyNumberFormat="1" applyFont="1" applyFill="1" applyBorder="1" applyAlignment="1">
      <alignment horizontal="center" vertical="center"/>
    </xf>
    <xf numFmtId="164" fontId="2" fillId="4" borderId="0" xfId="0" applyNumberFormat="1" applyFont="1" applyFill="1"/>
    <xf numFmtId="164" fontId="0" fillId="4" borderId="28" xfId="0" applyNumberFormat="1" applyFill="1" applyBorder="1"/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44" fontId="5" fillId="0" borderId="12" xfId="1" applyFont="1" applyBorder="1" applyAlignment="1">
      <alignment horizontal="center" vertical="center"/>
    </xf>
    <xf numFmtId="44" fontId="6" fillId="2" borderId="19" xfId="0" applyNumberFormat="1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5" fillId="0" borderId="13" xfId="1" applyNumberFormat="1" applyFont="1" applyBorder="1" applyAlignment="1">
      <alignment horizontal="center" vertical="center"/>
    </xf>
    <xf numFmtId="0" fontId="5" fillId="0" borderId="14" xfId="1" applyNumberFormat="1" applyFont="1" applyBorder="1" applyAlignment="1">
      <alignment horizontal="center" vertical="center"/>
    </xf>
    <xf numFmtId="2" fontId="5" fillId="0" borderId="13" xfId="1" applyNumberFormat="1" applyFont="1" applyBorder="1" applyAlignment="1">
      <alignment horizontal="center" vertical="center"/>
    </xf>
    <xf numFmtId="2" fontId="5" fillId="0" borderId="14" xfId="1" applyNumberFormat="1" applyFont="1" applyBorder="1" applyAlignment="1">
      <alignment horizontal="center" vertical="center"/>
    </xf>
    <xf numFmtId="0" fontId="5" fillId="0" borderId="12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</cellXfs>
  <cellStyles count="3">
    <cellStyle name="Normalny" xfId="0" builtinId="0"/>
    <cellStyle name="Procentowy" xfId="2" builtinId="5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27709</xdr:rowOff>
    </xdr:from>
    <xdr:to>
      <xdr:col>9</xdr:col>
      <xdr:colOff>703614</xdr:colOff>
      <xdr:row>1</xdr:row>
      <xdr:rowOff>544285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583C101A-8912-44DD-8185-49B64146E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7140" y="27709"/>
          <a:ext cx="1732314" cy="17129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27709</xdr:rowOff>
    </xdr:from>
    <xdr:to>
      <xdr:col>9</xdr:col>
      <xdr:colOff>703614</xdr:colOff>
      <xdr:row>1</xdr:row>
      <xdr:rowOff>544285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7EAF00A-D09B-471D-BF88-64C2CF42D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7140" y="27709"/>
          <a:ext cx="1732314" cy="17129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27709</xdr:rowOff>
    </xdr:from>
    <xdr:to>
      <xdr:col>9</xdr:col>
      <xdr:colOff>703614</xdr:colOff>
      <xdr:row>1</xdr:row>
      <xdr:rowOff>544285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4DCFC5D3-E695-411D-99F1-35CC12EED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7340" y="27709"/>
          <a:ext cx="1732314" cy="17129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27709</xdr:rowOff>
    </xdr:from>
    <xdr:to>
      <xdr:col>7</xdr:col>
      <xdr:colOff>703614</xdr:colOff>
      <xdr:row>1</xdr:row>
      <xdr:rowOff>544285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F8C68BFF-2F81-440C-A413-EC15E4DFF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98280" y="27709"/>
          <a:ext cx="1732314" cy="17129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27709</xdr:rowOff>
    </xdr:from>
    <xdr:to>
      <xdr:col>7</xdr:col>
      <xdr:colOff>703614</xdr:colOff>
      <xdr:row>1</xdr:row>
      <xdr:rowOff>544285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6137E389-A741-4591-9539-98D1A6760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5989" y="27709"/>
          <a:ext cx="1727960" cy="17129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27709</xdr:colOff>
      <xdr:row>0</xdr:row>
      <xdr:rowOff>27709</xdr:rowOff>
    </xdr:from>
    <xdr:to>
      <xdr:col>8</xdr:col>
      <xdr:colOff>361209</xdr:colOff>
      <xdr:row>1</xdr:row>
      <xdr:rowOff>544285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93D3964E-3375-4E22-BD10-08248DB26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4889" y="27709"/>
          <a:ext cx="1729048" cy="17129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27709</xdr:colOff>
      <xdr:row>0</xdr:row>
      <xdr:rowOff>27709</xdr:rowOff>
    </xdr:from>
    <xdr:to>
      <xdr:col>8</xdr:col>
      <xdr:colOff>415637</xdr:colOff>
      <xdr:row>1</xdr:row>
      <xdr:rowOff>544285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370896C6-3F67-71A5-9859-918DA1031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2509" y="27709"/>
          <a:ext cx="1717964" cy="17179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F9DC-B322-4CE8-B1D1-03845F4BE9E2}">
  <sheetPr>
    <pageSetUpPr fitToPage="1"/>
  </sheetPr>
  <dimension ref="A1:P80"/>
  <sheetViews>
    <sheetView tabSelected="1" topLeftCell="A49" zoomScale="55" zoomScaleNormal="55" workbookViewId="0">
      <selection activeCell="L67" sqref="L67"/>
    </sheetView>
  </sheetViews>
  <sheetFormatPr defaultRowHeight="14.4" x14ac:dyDescent="0.3"/>
  <cols>
    <col min="1" max="1" width="13" customWidth="1"/>
    <col min="2" max="2" width="65.88671875" customWidth="1"/>
    <col min="3" max="3" width="11.109375" customWidth="1"/>
    <col min="4" max="6" width="16.109375" customWidth="1"/>
    <col min="7" max="7" width="16.33203125" customWidth="1"/>
    <col min="8" max="8" width="11.6640625" customWidth="1"/>
    <col min="9" max="9" width="15" customWidth="1"/>
    <col min="10" max="10" width="16.5546875" bestFit="1" customWidth="1"/>
    <col min="11" max="11" width="21.6640625" bestFit="1" customWidth="1"/>
    <col min="12" max="12" width="36.44140625" customWidth="1"/>
    <col min="13" max="13" width="12.77734375" bestFit="1" customWidth="1"/>
    <col min="15" max="15" width="9.88671875" customWidth="1"/>
    <col min="16" max="16" width="13.6640625" customWidth="1"/>
    <col min="17" max="17" width="14.44140625" customWidth="1"/>
  </cols>
  <sheetData>
    <row r="1" spans="1:16" ht="94.2" customHeight="1" thickBot="1" x14ac:dyDescent="0.35">
      <c r="A1" s="2" t="s">
        <v>19</v>
      </c>
      <c r="B1" s="128" t="s">
        <v>36</v>
      </c>
      <c r="C1" s="128"/>
      <c r="D1" s="128"/>
      <c r="E1" s="128"/>
      <c r="F1" s="128"/>
      <c r="G1" s="128"/>
      <c r="H1" s="129"/>
      <c r="I1" s="130"/>
      <c r="J1" s="130"/>
      <c r="K1" s="130"/>
      <c r="L1" s="131"/>
    </row>
    <row r="2" spans="1:16" ht="46.8" customHeight="1" x14ac:dyDescent="0.3">
      <c r="A2" s="134" t="s">
        <v>38</v>
      </c>
      <c r="B2" s="135"/>
      <c r="C2" s="135"/>
      <c r="D2" s="135"/>
      <c r="E2" s="135"/>
      <c r="F2" s="135"/>
      <c r="G2" s="135"/>
      <c r="H2" s="136"/>
      <c r="I2" s="132"/>
      <c r="J2" s="132"/>
      <c r="K2" s="132"/>
      <c r="L2" s="133"/>
    </row>
    <row r="3" spans="1:16" ht="15" customHeight="1" x14ac:dyDescent="0.3">
      <c r="A3" s="9" t="s">
        <v>14</v>
      </c>
      <c r="B3" s="20" t="s">
        <v>20</v>
      </c>
      <c r="C3" s="20"/>
      <c r="D3" s="20"/>
      <c r="E3" s="20"/>
      <c r="F3" s="20"/>
      <c r="G3" s="20"/>
      <c r="H3" s="10"/>
      <c r="I3" s="21"/>
      <c r="J3" s="21"/>
      <c r="K3" s="21"/>
      <c r="L3" s="8"/>
    </row>
    <row r="4" spans="1:16" ht="15" thickBot="1" x14ac:dyDescent="0.35">
      <c r="A4" s="22" t="s">
        <v>13</v>
      </c>
      <c r="B4" s="51" t="s">
        <v>39</v>
      </c>
      <c r="H4" s="15"/>
      <c r="I4" s="64" t="s">
        <v>71</v>
      </c>
      <c r="J4" s="65">
        <v>7</v>
      </c>
      <c r="K4" s="64" t="s">
        <v>9</v>
      </c>
      <c r="L4" s="66">
        <v>46135</v>
      </c>
    </row>
    <row r="5" spans="1:16" ht="15" thickBot="1" x14ac:dyDescent="0.35">
      <c r="A5" s="52"/>
      <c r="B5" s="53" t="s">
        <v>58</v>
      </c>
      <c r="C5" s="54">
        <v>46100</v>
      </c>
      <c r="D5" s="55" t="s">
        <v>57</v>
      </c>
      <c r="E5" s="55"/>
      <c r="F5" s="55"/>
      <c r="G5" s="54">
        <v>46135</v>
      </c>
      <c r="H5" s="56"/>
      <c r="L5" s="15"/>
    </row>
    <row r="6" spans="1:16" x14ac:dyDescent="0.3">
      <c r="A6" s="22" t="s">
        <v>1</v>
      </c>
      <c r="L6" s="15"/>
    </row>
    <row r="7" spans="1:16" x14ac:dyDescent="0.3">
      <c r="A7" s="22"/>
      <c r="L7" s="15"/>
    </row>
    <row r="8" spans="1:16" x14ac:dyDescent="0.3">
      <c r="A8" s="23" t="s">
        <v>0</v>
      </c>
      <c r="B8" s="24" t="s">
        <v>36</v>
      </c>
      <c r="C8" s="24"/>
      <c r="D8" s="24"/>
      <c r="E8" s="24"/>
      <c r="F8" s="24"/>
      <c r="H8" s="24" t="s">
        <v>10</v>
      </c>
      <c r="I8" s="137" t="s">
        <v>43</v>
      </c>
      <c r="J8" s="137"/>
      <c r="K8" s="137"/>
      <c r="L8" s="138"/>
      <c r="M8" s="137"/>
      <c r="N8" s="137"/>
    </row>
    <row r="9" spans="1:16" x14ac:dyDescent="0.3">
      <c r="A9" s="23"/>
      <c r="B9" t="s">
        <v>41</v>
      </c>
      <c r="C9" s="24"/>
      <c r="D9" s="24"/>
      <c r="E9" s="24"/>
      <c r="F9" s="24"/>
      <c r="H9" s="24"/>
      <c r="I9" s="119" t="s">
        <v>44</v>
      </c>
      <c r="J9" s="119"/>
      <c r="K9" s="119"/>
      <c r="L9" s="120"/>
      <c r="M9" s="119"/>
      <c r="N9" s="119"/>
    </row>
    <row r="10" spans="1:16" x14ac:dyDescent="0.3">
      <c r="A10" s="23"/>
      <c r="B10" t="s">
        <v>42</v>
      </c>
      <c r="C10" s="24"/>
      <c r="D10" s="24"/>
      <c r="E10" s="24"/>
      <c r="F10" s="24"/>
      <c r="H10" s="24"/>
      <c r="I10" s="119" t="s">
        <v>45</v>
      </c>
      <c r="J10" s="119"/>
      <c r="K10" s="119"/>
      <c r="L10" s="120"/>
      <c r="M10" s="119"/>
      <c r="N10" s="119"/>
    </row>
    <row r="11" spans="1:16" x14ac:dyDescent="0.3">
      <c r="A11" s="22"/>
      <c r="L11" s="15"/>
    </row>
    <row r="12" spans="1:16" x14ac:dyDescent="0.3">
      <c r="A12" s="25" t="s">
        <v>49</v>
      </c>
      <c r="B12" s="6" t="s">
        <v>46</v>
      </c>
      <c r="C12" s="1"/>
      <c r="D12" s="1"/>
      <c r="E12" s="1"/>
      <c r="F12" s="1"/>
      <c r="G12" s="1"/>
      <c r="H12" s="19" t="s">
        <v>47</v>
      </c>
      <c r="I12" s="121" t="s">
        <v>48</v>
      </c>
      <c r="J12" s="122"/>
      <c r="K12" s="19" t="s">
        <v>50</v>
      </c>
      <c r="L12" s="106" t="s">
        <v>15</v>
      </c>
    </row>
    <row r="13" spans="1:16" x14ac:dyDescent="0.3">
      <c r="A13" s="22"/>
      <c r="L13" s="15"/>
    </row>
    <row r="14" spans="1:16" x14ac:dyDescent="0.3">
      <c r="A14" s="23" t="s">
        <v>16</v>
      </c>
      <c r="D14" s="27"/>
      <c r="E14" s="17"/>
      <c r="F14" s="17"/>
      <c r="L14" s="15"/>
    </row>
    <row r="15" spans="1:16" ht="15" thickBot="1" x14ac:dyDescent="0.35">
      <c r="A15" s="22"/>
      <c r="L15" s="15"/>
    </row>
    <row r="16" spans="1:16" ht="72" x14ac:dyDescent="0.3">
      <c r="A16" s="107" t="s">
        <v>2</v>
      </c>
      <c r="B16" s="28" t="s">
        <v>17</v>
      </c>
      <c r="C16" s="27" t="s">
        <v>22</v>
      </c>
      <c r="D16" s="27" t="s">
        <v>23</v>
      </c>
      <c r="E16" s="27" t="s">
        <v>87</v>
      </c>
      <c r="F16" s="27" t="s">
        <v>26</v>
      </c>
      <c r="G16" s="27" t="s">
        <v>60</v>
      </c>
      <c r="H16" s="44" t="s">
        <v>61</v>
      </c>
      <c r="I16" s="27" t="s">
        <v>62</v>
      </c>
      <c r="J16" s="44" t="s">
        <v>30</v>
      </c>
      <c r="K16" s="47" t="s">
        <v>27</v>
      </c>
      <c r="L16" s="108" t="s">
        <v>32</v>
      </c>
      <c r="M16" s="1"/>
      <c r="N16" s="1"/>
      <c r="O16" s="1"/>
      <c r="P16" s="1"/>
    </row>
    <row r="17" spans="1:16" x14ac:dyDescent="0.3">
      <c r="A17" s="123" t="s">
        <v>59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5"/>
      <c r="M17" s="1"/>
      <c r="N17" s="1"/>
      <c r="O17" s="1"/>
      <c r="P17" s="1"/>
    </row>
    <row r="18" spans="1:16" ht="25.05" customHeight="1" x14ac:dyDescent="0.3">
      <c r="A18" s="109" t="s">
        <v>3</v>
      </c>
      <c r="B18" s="30" t="s">
        <v>21</v>
      </c>
      <c r="C18" s="31" t="s">
        <v>24</v>
      </c>
      <c r="D18" s="32">
        <v>120</v>
      </c>
      <c r="E18" s="31">
        <v>80.039999999999992</v>
      </c>
      <c r="F18" s="90">
        <v>1</v>
      </c>
      <c r="G18" s="73">
        <f>E18*F18-H18</f>
        <v>0</v>
      </c>
      <c r="H18" s="59">
        <v>80.039999999999992</v>
      </c>
      <c r="I18" s="57">
        <f>H18+G18</f>
        <v>80.039999999999992</v>
      </c>
      <c r="J18" s="32">
        <f>H18*D18</f>
        <v>9604.7999999999993</v>
      </c>
      <c r="K18" s="48">
        <f>G18*D18</f>
        <v>0</v>
      </c>
      <c r="L18" s="110"/>
    </row>
    <row r="19" spans="1:16" ht="25.05" customHeight="1" x14ac:dyDescent="0.3">
      <c r="A19" s="109" t="s">
        <v>4</v>
      </c>
      <c r="B19" s="30" t="s">
        <v>34</v>
      </c>
      <c r="C19" s="31" t="s">
        <v>24</v>
      </c>
      <c r="D19" s="32">
        <v>540</v>
      </c>
      <c r="E19" s="31">
        <v>76.54549999999999</v>
      </c>
      <c r="F19" s="90">
        <v>1</v>
      </c>
      <c r="G19" s="73">
        <f t="shared" ref="G19:G28" si="0">E19*F19-H19</f>
        <v>0</v>
      </c>
      <c r="H19" s="60">
        <v>76.54549999999999</v>
      </c>
      <c r="I19" s="57">
        <f t="shared" ref="I19:I68" si="1">G19+H19</f>
        <v>76.54549999999999</v>
      </c>
      <c r="J19" s="32">
        <f t="shared" ref="J19:J68" si="2">H19*D19</f>
        <v>41334.569999999992</v>
      </c>
      <c r="K19" s="48">
        <f t="shared" ref="K19:K68" si="3">G19*D19</f>
        <v>0</v>
      </c>
      <c r="L19" s="110"/>
    </row>
    <row r="20" spans="1:16" ht="25.05" customHeight="1" x14ac:dyDescent="0.3">
      <c r="A20" s="109" t="s">
        <v>5</v>
      </c>
      <c r="B20" s="30" t="s">
        <v>53</v>
      </c>
      <c r="C20" s="31" t="s">
        <v>24</v>
      </c>
      <c r="D20" s="32">
        <v>435</v>
      </c>
      <c r="E20" s="31">
        <v>97</v>
      </c>
      <c r="F20" s="90">
        <v>1</v>
      </c>
      <c r="G20" s="73">
        <f t="shared" si="0"/>
        <v>0</v>
      </c>
      <c r="H20" s="59">
        <v>97</v>
      </c>
      <c r="I20" s="57">
        <f t="shared" si="1"/>
        <v>97</v>
      </c>
      <c r="J20" s="32">
        <f t="shared" si="2"/>
        <v>42195</v>
      </c>
      <c r="K20" s="48">
        <f t="shared" si="3"/>
        <v>0</v>
      </c>
      <c r="L20" s="110"/>
    </row>
    <row r="21" spans="1:16" ht="25.05" customHeight="1" x14ac:dyDescent="0.3">
      <c r="A21" s="109" t="s">
        <v>6</v>
      </c>
      <c r="B21" s="30" t="s">
        <v>51</v>
      </c>
      <c r="C21" s="31" t="s">
        <v>24</v>
      </c>
      <c r="D21" s="32">
        <v>270</v>
      </c>
      <c r="E21" s="31">
        <v>124.24000000000001</v>
      </c>
      <c r="F21" s="90">
        <v>1</v>
      </c>
      <c r="G21" s="73">
        <f t="shared" si="0"/>
        <v>0</v>
      </c>
      <c r="H21" s="59">
        <v>124.24000000000001</v>
      </c>
      <c r="I21" s="57">
        <f t="shared" si="1"/>
        <v>124.24000000000001</v>
      </c>
      <c r="J21" s="32">
        <f t="shared" si="2"/>
        <v>33544.800000000003</v>
      </c>
      <c r="K21" s="48">
        <f t="shared" si="3"/>
        <v>0</v>
      </c>
      <c r="L21" s="110"/>
    </row>
    <row r="22" spans="1:16" ht="25.05" customHeight="1" x14ac:dyDescent="0.3">
      <c r="A22" s="109" t="s">
        <v>7</v>
      </c>
      <c r="B22" s="30" t="s">
        <v>63</v>
      </c>
      <c r="C22" s="31" t="s">
        <v>24</v>
      </c>
      <c r="D22" s="32">
        <v>1900</v>
      </c>
      <c r="E22" s="31">
        <v>12.8855</v>
      </c>
      <c r="F22" s="90">
        <v>1</v>
      </c>
      <c r="G22" s="73">
        <f t="shared" si="0"/>
        <v>0</v>
      </c>
      <c r="H22" s="59">
        <v>12.8855</v>
      </c>
      <c r="I22" s="57">
        <f t="shared" si="1"/>
        <v>12.8855</v>
      </c>
      <c r="J22" s="32">
        <f t="shared" si="2"/>
        <v>24482.45</v>
      </c>
      <c r="K22" s="48">
        <f t="shared" si="3"/>
        <v>0</v>
      </c>
      <c r="L22" s="110"/>
    </row>
    <row r="23" spans="1:16" ht="25.05" customHeight="1" x14ac:dyDescent="0.3">
      <c r="A23" s="109" t="s">
        <v>68</v>
      </c>
      <c r="B23" s="30" t="s">
        <v>66</v>
      </c>
      <c r="C23" s="31" t="s">
        <v>67</v>
      </c>
      <c r="D23" s="58">
        <v>325</v>
      </c>
      <c r="E23" s="31">
        <v>10.5</v>
      </c>
      <c r="F23" s="90">
        <v>1</v>
      </c>
      <c r="G23" s="73">
        <f t="shared" si="0"/>
        <v>0</v>
      </c>
      <c r="H23" s="59">
        <v>10.5</v>
      </c>
      <c r="I23" s="57">
        <f t="shared" si="1"/>
        <v>10.5</v>
      </c>
      <c r="J23" s="32">
        <f t="shared" si="2"/>
        <v>3412.5</v>
      </c>
      <c r="K23" s="48">
        <f t="shared" si="3"/>
        <v>0</v>
      </c>
      <c r="L23" s="110"/>
    </row>
    <row r="24" spans="1:16" ht="25.05" customHeight="1" x14ac:dyDescent="0.3">
      <c r="A24" s="109" t="s">
        <v>69</v>
      </c>
      <c r="B24" s="30" t="s">
        <v>64</v>
      </c>
      <c r="C24" s="31" t="s">
        <v>65</v>
      </c>
      <c r="D24" s="58">
        <v>162</v>
      </c>
      <c r="E24" s="31">
        <v>378.42</v>
      </c>
      <c r="F24" s="90">
        <v>1</v>
      </c>
      <c r="G24" s="73">
        <f t="shared" si="0"/>
        <v>0</v>
      </c>
      <c r="H24" s="59">
        <v>378.42</v>
      </c>
      <c r="I24" s="57">
        <f t="shared" si="1"/>
        <v>378.42</v>
      </c>
      <c r="J24" s="32">
        <f t="shared" si="2"/>
        <v>61304.04</v>
      </c>
      <c r="K24" s="48">
        <f t="shared" si="3"/>
        <v>0</v>
      </c>
      <c r="L24" s="110"/>
    </row>
    <row r="25" spans="1:16" ht="25.05" customHeight="1" x14ac:dyDescent="0.3">
      <c r="A25" s="109" t="s">
        <v>70</v>
      </c>
      <c r="B25" s="30" t="s">
        <v>52</v>
      </c>
      <c r="C25" s="31" t="s">
        <v>54</v>
      </c>
      <c r="D25" s="32">
        <v>2200</v>
      </c>
      <c r="E25" s="31">
        <v>31.18805</v>
      </c>
      <c r="F25" s="90">
        <v>1</v>
      </c>
      <c r="G25" s="73">
        <f t="shared" si="0"/>
        <v>0</v>
      </c>
      <c r="H25" s="59">
        <v>31.18805</v>
      </c>
      <c r="I25" s="57">
        <f t="shared" si="1"/>
        <v>31.18805</v>
      </c>
      <c r="J25" s="32">
        <f t="shared" si="2"/>
        <v>68613.710000000006</v>
      </c>
      <c r="K25" s="48">
        <f t="shared" si="3"/>
        <v>0</v>
      </c>
      <c r="L25" s="110"/>
    </row>
    <row r="26" spans="1:16" ht="25.05" customHeight="1" x14ac:dyDescent="0.3">
      <c r="A26" s="109" t="s">
        <v>84</v>
      </c>
      <c r="B26" s="30" t="s">
        <v>72</v>
      </c>
      <c r="C26" s="31" t="s">
        <v>65</v>
      </c>
      <c r="D26" s="32">
        <v>32.5</v>
      </c>
      <c r="E26" s="31">
        <v>1359.1435999999999</v>
      </c>
      <c r="F26" s="90">
        <v>1</v>
      </c>
      <c r="G26" s="73">
        <f t="shared" si="0"/>
        <v>0</v>
      </c>
      <c r="H26" s="59">
        <v>1359.1435999999999</v>
      </c>
      <c r="I26" s="57">
        <f t="shared" si="1"/>
        <v>1359.1435999999999</v>
      </c>
      <c r="J26" s="32">
        <f t="shared" si="2"/>
        <v>44172.166999999994</v>
      </c>
      <c r="K26" s="48">
        <f t="shared" si="3"/>
        <v>0</v>
      </c>
      <c r="L26" s="110"/>
    </row>
    <row r="27" spans="1:16" ht="25.05" customHeight="1" x14ac:dyDescent="0.3">
      <c r="A27" s="109" t="s">
        <v>85</v>
      </c>
      <c r="B27" s="30" t="s">
        <v>73</v>
      </c>
      <c r="C27" s="63" t="s">
        <v>24</v>
      </c>
      <c r="D27" s="32">
        <f>120</f>
        <v>120</v>
      </c>
      <c r="E27" s="31">
        <v>135.91435999999999</v>
      </c>
      <c r="F27" s="90">
        <v>1</v>
      </c>
      <c r="G27" s="73">
        <f t="shared" si="0"/>
        <v>0</v>
      </c>
      <c r="H27" s="59">
        <v>135.91435999999999</v>
      </c>
      <c r="I27" s="57">
        <f t="shared" si="1"/>
        <v>135.91435999999999</v>
      </c>
      <c r="J27" s="32">
        <f t="shared" si="2"/>
        <v>16309.723199999999</v>
      </c>
      <c r="K27" s="48">
        <f t="shared" si="3"/>
        <v>0</v>
      </c>
      <c r="L27" s="110"/>
    </row>
    <row r="28" spans="1:16" ht="25.05" customHeight="1" thickBot="1" x14ac:dyDescent="0.35">
      <c r="A28" s="109" t="s">
        <v>86</v>
      </c>
      <c r="B28" s="62" t="s">
        <v>74</v>
      </c>
      <c r="C28" s="63" t="s">
        <v>65</v>
      </c>
      <c r="D28" s="69">
        <f>40-15</f>
        <v>25</v>
      </c>
      <c r="E28" s="31">
        <v>86.222499999999997</v>
      </c>
      <c r="F28" s="90">
        <v>1</v>
      </c>
      <c r="G28" s="73">
        <f t="shared" si="0"/>
        <v>0</v>
      </c>
      <c r="H28" s="70">
        <v>86.222499999999997</v>
      </c>
      <c r="I28" s="71">
        <f t="shared" si="1"/>
        <v>86.222499999999997</v>
      </c>
      <c r="J28" s="69">
        <f t="shared" si="2"/>
        <v>2155.5625</v>
      </c>
      <c r="K28" s="75">
        <f t="shared" si="3"/>
        <v>0</v>
      </c>
      <c r="L28" s="111"/>
    </row>
    <row r="29" spans="1:16" s="96" customFormat="1" ht="25.05" customHeight="1" thickBot="1" x14ac:dyDescent="0.35">
      <c r="A29" s="126" t="s">
        <v>75</v>
      </c>
      <c r="B29" s="127"/>
      <c r="C29" s="127"/>
      <c r="D29" s="127"/>
      <c r="E29" s="127"/>
      <c r="F29" s="127"/>
      <c r="G29" s="127"/>
      <c r="H29" s="127"/>
      <c r="I29" s="127"/>
      <c r="J29" s="94"/>
      <c r="K29" s="103"/>
      <c r="L29" s="112"/>
    </row>
    <row r="30" spans="1:16" ht="25.05" customHeight="1" x14ac:dyDescent="0.3">
      <c r="A30" s="113" t="s">
        <v>3</v>
      </c>
      <c r="B30" s="78" t="s">
        <v>76</v>
      </c>
      <c r="C30" s="79" t="s">
        <v>65</v>
      </c>
      <c r="D30" s="80">
        <v>162</v>
      </c>
      <c r="E30" s="31">
        <v>550.1</v>
      </c>
      <c r="F30" s="90">
        <v>1</v>
      </c>
      <c r="G30" s="73">
        <f>E30*F30-H30</f>
        <v>0</v>
      </c>
      <c r="H30" s="82">
        <v>550.1</v>
      </c>
      <c r="I30" s="91">
        <f t="shared" si="1"/>
        <v>550.1</v>
      </c>
      <c r="J30" s="80">
        <f t="shared" si="2"/>
        <v>89116.2</v>
      </c>
      <c r="K30" s="104">
        <f t="shared" si="3"/>
        <v>0</v>
      </c>
      <c r="L30" s="112"/>
    </row>
    <row r="31" spans="1:16" ht="25.05" customHeight="1" x14ac:dyDescent="0.3">
      <c r="A31" s="114" t="s">
        <v>4</v>
      </c>
      <c r="B31" s="30" t="s">
        <v>77</v>
      </c>
      <c r="C31" s="31" t="s">
        <v>24</v>
      </c>
      <c r="D31" s="32">
        <v>1900</v>
      </c>
      <c r="E31" s="31">
        <v>30.159999999999997</v>
      </c>
      <c r="F31" s="90">
        <v>1</v>
      </c>
      <c r="G31" s="73">
        <f t="shared" ref="G31:G68" si="4">E31*F31-H31</f>
        <v>0</v>
      </c>
      <c r="H31" s="59">
        <v>30.159999999999997</v>
      </c>
      <c r="I31" s="92">
        <f t="shared" si="1"/>
        <v>30.159999999999997</v>
      </c>
      <c r="J31" s="32">
        <f t="shared" si="2"/>
        <v>57303.999999999993</v>
      </c>
      <c r="K31" s="105">
        <f t="shared" si="3"/>
        <v>0</v>
      </c>
      <c r="L31" s="112"/>
    </row>
    <row r="32" spans="1:16" ht="25.05" customHeight="1" x14ac:dyDescent="0.3">
      <c r="A32" s="114" t="s">
        <v>5</v>
      </c>
      <c r="B32" s="30" t="s">
        <v>78</v>
      </c>
      <c r="C32" s="31" t="s">
        <v>67</v>
      </c>
      <c r="D32" s="32">
        <v>325</v>
      </c>
      <c r="E32" s="31">
        <v>17.989999999999998</v>
      </c>
      <c r="F32" s="90">
        <v>1</v>
      </c>
      <c r="G32" s="73">
        <f t="shared" si="4"/>
        <v>0</v>
      </c>
      <c r="H32" s="59">
        <v>17.989999999999998</v>
      </c>
      <c r="I32" s="92">
        <f t="shared" si="1"/>
        <v>17.989999999999998</v>
      </c>
      <c r="J32" s="32">
        <f t="shared" si="2"/>
        <v>5846.7499999999991</v>
      </c>
      <c r="K32" s="105">
        <f t="shared" si="3"/>
        <v>0</v>
      </c>
      <c r="L32" s="112"/>
    </row>
    <row r="33" spans="1:12" ht="25.05" customHeight="1" x14ac:dyDescent="0.3">
      <c r="A33" s="114" t="s">
        <v>6</v>
      </c>
      <c r="B33" s="30" t="s">
        <v>80</v>
      </c>
      <c r="C33" s="31" t="s">
        <v>24</v>
      </c>
      <c r="D33" s="32">
        <v>1800</v>
      </c>
      <c r="E33" s="31">
        <v>1.96</v>
      </c>
      <c r="F33" s="90">
        <v>1</v>
      </c>
      <c r="G33" s="73">
        <f t="shared" si="4"/>
        <v>0</v>
      </c>
      <c r="H33" s="59">
        <v>1.96</v>
      </c>
      <c r="I33" s="92">
        <f t="shared" si="1"/>
        <v>1.96</v>
      </c>
      <c r="J33" s="32">
        <f t="shared" si="2"/>
        <v>3528</v>
      </c>
      <c r="K33" s="105">
        <f t="shared" si="3"/>
        <v>0</v>
      </c>
      <c r="L33" s="112"/>
    </row>
    <row r="34" spans="1:12" ht="25.05" customHeight="1" x14ac:dyDescent="0.3">
      <c r="A34" s="114" t="s">
        <v>7</v>
      </c>
      <c r="B34" s="30" t="s">
        <v>88</v>
      </c>
      <c r="C34" s="31" t="s">
        <v>54</v>
      </c>
      <c r="D34" s="32">
        <v>2200</v>
      </c>
      <c r="E34" s="31">
        <v>13.78838</v>
      </c>
      <c r="F34" s="90">
        <v>1</v>
      </c>
      <c r="G34" s="73">
        <f t="shared" si="4"/>
        <v>0</v>
      </c>
      <c r="H34" s="59">
        <v>13.78838</v>
      </c>
      <c r="I34" s="92">
        <f t="shared" si="1"/>
        <v>13.78838</v>
      </c>
      <c r="J34" s="32">
        <f t="shared" si="2"/>
        <v>30334.436000000002</v>
      </c>
      <c r="K34" s="105">
        <f t="shared" si="3"/>
        <v>0</v>
      </c>
      <c r="L34" s="112"/>
    </row>
    <row r="35" spans="1:12" ht="25.05" customHeight="1" x14ac:dyDescent="0.3">
      <c r="A35" s="114" t="s">
        <v>68</v>
      </c>
      <c r="B35" s="30" t="s">
        <v>81</v>
      </c>
      <c r="C35" s="31" t="s">
        <v>65</v>
      </c>
      <c r="D35" s="32">
        <v>88</v>
      </c>
      <c r="E35" s="31">
        <v>280</v>
      </c>
      <c r="F35" s="90">
        <v>1</v>
      </c>
      <c r="G35" s="73">
        <f t="shared" si="4"/>
        <v>0</v>
      </c>
      <c r="H35" s="59">
        <v>280</v>
      </c>
      <c r="I35" s="92">
        <f t="shared" si="1"/>
        <v>280</v>
      </c>
      <c r="J35" s="32">
        <f t="shared" si="2"/>
        <v>24640</v>
      </c>
      <c r="K35" s="105">
        <f t="shared" si="3"/>
        <v>0</v>
      </c>
      <c r="L35" s="112"/>
    </row>
    <row r="36" spans="1:12" ht="25.05" customHeight="1" x14ac:dyDescent="0.3">
      <c r="A36" s="114" t="s">
        <v>69</v>
      </c>
      <c r="B36" s="30" t="s">
        <v>89</v>
      </c>
      <c r="C36" s="31" t="s">
        <v>65</v>
      </c>
      <c r="D36" s="32">
        <v>162</v>
      </c>
      <c r="E36" s="31">
        <v>143.4</v>
      </c>
      <c r="F36" s="90">
        <v>1</v>
      </c>
      <c r="G36" s="73">
        <f>E36*F36-H36</f>
        <v>0</v>
      </c>
      <c r="H36" s="60">
        <v>143.4</v>
      </c>
      <c r="I36" s="92">
        <f>G36+H36</f>
        <v>143.4</v>
      </c>
      <c r="J36" s="32">
        <f>H36*D36</f>
        <v>23230.799999999999</v>
      </c>
      <c r="K36" s="105">
        <f>G36*D36</f>
        <v>0</v>
      </c>
      <c r="L36" s="112"/>
    </row>
    <row r="37" spans="1:12" ht="25.05" customHeight="1" x14ac:dyDescent="0.3">
      <c r="A37" s="114" t="s">
        <v>70</v>
      </c>
      <c r="B37" s="30" t="s">
        <v>93</v>
      </c>
      <c r="C37" s="31" t="s">
        <v>54</v>
      </c>
      <c r="D37" s="32">
        <v>2200</v>
      </c>
      <c r="E37" s="31">
        <f>2135/1000</f>
        <v>2.1349999999999998</v>
      </c>
      <c r="F37" s="90">
        <v>1</v>
      </c>
      <c r="G37" s="73">
        <f t="shared" ref="G37:G49" si="5">E37*F37-H37</f>
        <v>0</v>
      </c>
      <c r="H37" s="60">
        <v>2.1349999999999998</v>
      </c>
      <c r="I37" s="92">
        <f t="shared" ref="I37:I49" si="6">G37+H37</f>
        <v>2.1349999999999998</v>
      </c>
      <c r="J37" s="32">
        <f t="shared" ref="J37:J49" si="7">H37*D37</f>
        <v>4696.9999999999991</v>
      </c>
      <c r="K37" s="105">
        <f t="shared" ref="K37:K49" si="8">G37*D37</f>
        <v>0</v>
      </c>
      <c r="L37" s="112"/>
    </row>
    <row r="38" spans="1:12" ht="25.05" customHeight="1" x14ac:dyDescent="0.3">
      <c r="A38" s="114" t="s">
        <v>84</v>
      </c>
      <c r="B38" s="30" t="s">
        <v>91</v>
      </c>
      <c r="C38" s="31" t="s">
        <v>65</v>
      </c>
      <c r="D38" s="32">
        <v>162</v>
      </c>
      <c r="E38" s="31">
        <v>1201.1600000000001</v>
      </c>
      <c r="F38" s="90">
        <v>1</v>
      </c>
      <c r="G38" s="73">
        <f t="shared" si="5"/>
        <v>0</v>
      </c>
      <c r="H38" s="60">
        <v>1201.1600000000001</v>
      </c>
      <c r="I38" s="92">
        <f t="shared" si="6"/>
        <v>1201.1600000000001</v>
      </c>
      <c r="J38" s="32">
        <f t="shared" si="7"/>
        <v>194587.92</v>
      </c>
      <c r="K38" s="105">
        <f t="shared" si="8"/>
        <v>0</v>
      </c>
      <c r="L38" s="112"/>
    </row>
    <row r="39" spans="1:12" ht="25.05" customHeight="1" x14ac:dyDescent="0.3">
      <c r="A39" s="114" t="s">
        <v>85</v>
      </c>
      <c r="B39" s="30" t="s">
        <v>92</v>
      </c>
      <c r="C39" s="31" t="s">
        <v>54</v>
      </c>
      <c r="D39" s="32">
        <v>2200</v>
      </c>
      <c r="E39" s="31">
        <v>25.25733</v>
      </c>
      <c r="F39" s="90">
        <v>1</v>
      </c>
      <c r="G39" s="73">
        <f t="shared" si="5"/>
        <v>0</v>
      </c>
      <c r="H39" s="60">
        <v>25.25733</v>
      </c>
      <c r="I39" s="92">
        <f t="shared" si="6"/>
        <v>25.25733</v>
      </c>
      <c r="J39" s="32">
        <f t="shared" si="7"/>
        <v>55566.125999999997</v>
      </c>
      <c r="K39" s="105">
        <f t="shared" si="8"/>
        <v>0</v>
      </c>
      <c r="L39" s="112"/>
    </row>
    <row r="40" spans="1:12" ht="25.05" customHeight="1" x14ac:dyDescent="0.3">
      <c r="A40" s="114" t="s">
        <v>86</v>
      </c>
      <c r="B40" s="30" t="s">
        <v>94</v>
      </c>
      <c r="C40" s="31" t="s">
        <v>24</v>
      </c>
      <c r="D40" s="32">
        <v>1900</v>
      </c>
      <c r="E40" s="31">
        <v>190.16</v>
      </c>
      <c r="F40" s="90">
        <v>1</v>
      </c>
      <c r="G40" s="73">
        <f t="shared" si="5"/>
        <v>0</v>
      </c>
      <c r="H40" s="60">
        <v>190.16</v>
      </c>
      <c r="I40" s="92">
        <f t="shared" si="6"/>
        <v>190.16</v>
      </c>
      <c r="J40" s="32">
        <f t="shared" si="7"/>
        <v>361304</v>
      </c>
      <c r="K40" s="105">
        <f t="shared" si="8"/>
        <v>0</v>
      </c>
      <c r="L40" s="112"/>
    </row>
    <row r="41" spans="1:12" ht="25.05" customHeight="1" x14ac:dyDescent="0.3">
      <c r="A41" s="114" t="s">
        <v>97</v>
      </c>
      <c r="B41" s="30" t="s">
        <v>95</v>
      </c>
      <c r="C41" s="31" t="s">
        <v>54</v>
      </c>
      <c r="D41" s="32">
        <v>2200</v>
      </c>
      <c r="E41" s="93">
        <v>18.808808414000005</v>
      </c>
      <c r="F41" s="90">
        <v>1</v>
      </c>
      <c r="G41" s="73">
        <f t="shared" si="5"/>
        <v>0</v>
      </c>
      <c r="H41" s="60">
        <v>18.808808414000005</v>
      </c>
      <c r="I41" s="92">
        <f t="shared" si="6"/>
        <v>18.808808414000005</v>
      </c>
      <c r="J41" s="32">
        <f t="shared" si="7"/>
        <v>41379.378510800008</v>
      </c>
      <c r="K41" s="105">
        <f t="shared" si="8"/>
        <v>0</v>
      </c>
      <c r="L41" s="112"/>
    </row>
    <row r="42" spans="1:12" ht="25.05" customHeight="1" x14ac:dyDescent="0.3">
      <c r="A42" s="114" t="s">
        <v>98</v>
      </c>
      <c r="B42" s="30" t="s">
        <v>100</v>
      </c>
      <c r="C42" s="31" t="s">
        <v>67</v>
      </c>
      <c r="D42" s="32">
        <v>60</v>
      </c>
      <c r="E42" s="93">
        <v>97.68</v>
      </c>
      <c r="F42" s="90">
        <v>1</v>
      </c>
      <c r="G42" s="73">
        <f t="shared" si="5"/>
        <v>0</v>
      </c>
      <c r="H42" s="60">
        <v>97.68</v>
      </c>
      <c r="I42" s="92">
        <f t="shared" si="6"/>
        <v>97.68</v>
      </c>
      <c r="J42" s="32">
        <f t="shared" si="7"/>
        <v>5860.8</v>
      </c>
      <c r="K42" s="105">
        <f t="shared" si="8"/>
        <v>0</v>
      </c>
      <c r="L42" s="112"/>
    </row>
    <row r="43" spans="1:12" ht="25.05" customHeight="1" x14ac:dyDescent="0.3">
      <c r="A43" s="114" t="s">
        <v>99</v>
      </c>
      <c r="B43" s="30" t="s">
        <v>106</v>
      </c>
      <c r="C43" s="31" t="s">
        <v>65</v>
      </c>
      <c r="D43" s="32">
        <v>162</v>
      </c>
      <c r="E43" s="93">
        <v>23.32</v>
      </c>
      <c r="F43" s="90">
        <v>1</v>
      </c>
      <c r="G43" s="73">
        <f t="shared" si="5"/>
        <v>0</v>
      </c>
      <c r="H43" s="60">
        <v>23.32</v>
      </c>
      <c r="I43" s="92">
        <f t="shared" si="6"/>
        <v>23.32</v>
      </c>
      <c r="J43" s="32">
        <f t="shared" si="7"/>
        <v>3777.84</v>
      </c>
      <c r="K43" s="105">
        <f t="shared" si="8"/>
        <v>0</v>
      </c>
      <c r="L43" s="112"/>
    </row>
    <row r="44" spans="1:12" ht="25.05" customHeight="1" x14ac:dyDescent="0.3">
      <c r="A44" s="114" t="s">
        <v>104</v>
      </c>
      <c r="B44" s="30" t="s">
        <v>107</v>
      </c>
      <c r="C44" s="31" t="s">
        <v>54</v>
      </c>
      <c r="D44" s="32">
        <v>2200</v>
      </c>
      <c r="E44" s="93">
        <f>445.41/1000</f>
        <v>0.44541000000000003</v>
      </c>
      <c r="F44" s="90">
        <v>1</v>
      </c>
      <c r="G44" s="73">
        <f t="shared" si="5"/>
        <v>0</v>
      </c>
      <c r="H44" s="60">
        <v>0.44541000000000003</v>
      </c>
      <c r="I44" s="92">
        <f t="shared" si="6"/>
        <v>0.44541000000000003</v>
      </c>
      <c r="J44" s="32">
        <f t="shared" si="7"/>
        <v>979.90200000000004</v>
      </c>
      <c r="K44" s="105">
        <f t="shared" si="8"/>
        <v>0</v>
      </c>
      <c r="L44" s="112"/>
    </row>
    <row r="45" spans="1:12" ht="25.05" customHeight="1" x14ac:dyDescent="0.3">
      <c r="A45" s="114" t="s">
        <v>105</v>
      </c>
      <c r="B45" s="30" t="s">
        <v>112</v>
      </c>
      <c r="C45" s="31" t="s">
        <v>113</v>
      </c>
      <c r="D45" s="32">
        <v>180</v>
      </c>
      <c r="E45" s="93">
        <v>60</v>
      </c>
      <c r="F45" s="90">
        <v>1</v>
      </c>
      <c r="G45" s="73">
        <f t="shared" si="5"/>
        <v>0</v>
      </c>
      <c r="H45" s="60">
        <v>60</v>
      </c>
      <c r="I45" s="92">
        <f t="shared" si="6"/>
        <v>60</v>
      </c>
      <c r="J45" s="32">
        <f t="shared" si="7"/>
        <v>10800</v>
      </c>
      <c r="K45" s="105">
        <f t="shared" si="8"/>
        <v>0</v>
      </c>
      <c r="L45" s="112"/>
    </row>
    <row r="46" spans="1:12" ht="25.05" customHeight="1" x14ac:dyDescent="0.3">
      <c r="A46" s="114" t="s">
        <v>110</v>
      </c>
      <c r="B46" s="30" t="s">
        <v>114</v>
      </c>
      <c r="C46" s="31" t="s">
        <v>54</v>
      </c>
      <c r="D46" s="32">
        <v>2200</v>
      </c>
      <c r="E46" s="93">
        <f>575.42/1000</f>
        <v>0.57541999999999993</v>
      </c>
      <c r="F46" s="90">
        <v>1</v>
      </c>
      <c r="G46" s="73">
        <f t="shared" si="5"/>
        <v>0</v>
      </c>
      <c r="H46" s="60">
        <v>0.57541999999999993</v>
      </c>
      <c r="I46" s="92">
        <f t="shared" si="6"/>
        <v>0.57541999999999993</v>
      </c>
      <c r="J46" s="32">
        <f t="shared" si="7"/>
        <v>1265.9239999999998</v>
      </c>
      <c r="K46" s="105">
        <f t="shared" si="8"/>
        <v>0</v>
      </c>
      <c r="L46" s="112"/>
    </row>
    <row r="47" spans="1:12" ht="25.05" customHeight="1" x14ac:dyDescent="0.3">
      <c r="A47" s="114" t="s">
        <v>111</v>
      </c>
      <c r="B47" s="30" t="s">
        <v>115</v>
      </c>
      <c r="C47" s="31" t="s">
        <v>24</v>
      </c>
      <c r="D47" s="32">
        <v>1800</v>
      </c>
      <c r="E47" s="93">
        <v>1.1499999999999999</v>
      </c>
      <c r="F47" s="90">
        <v>1</v>
      </c>
      <c r="G47" s="73">
        <f t="shared" si="5"/>
        <v>0</v>
      </c>
      <c r="H47" s="60">
        <v>1.1499999999999999</v>
      </c>
      <c r="I47" s="92">
        <f t="shared" si="6"/>
        <v>1.1499999999999999</v>
      </c>
      <c r="J47" s="32">
        <f t="shared" si="7"/>
        <v>2070</v>
      </c>
      <c r="K47" s="105">
        <f t="shared" si="8"/>
        <v>0</v>
      </c>
      <c r="L47" s="112"/>
    </row>
    <row r="48" spans="1:12" ht="25.05" customHeight="1" x14ac:dyDescent="0.3">
      <c r="A48" s="114" t="s">
        <v>117</v>
      </c>
      <c r="B48" s="30" t="s">
        <v>116</v>
      </c>
      <c r="C48" s="31" t="s">
        <v>54</v>
      </c>
      <c r="D48" s="32">
        <v>2200</v>
      </c>
      <c r="E48" s="93">
        <f>39.69/1000</f>
        <v>3.9689999999999996E-2</v>
      </c>
      <c r="F48" s="90">
        <v>1</v>
      </c>
      <c r="G48" s="73">
        <f t="shared" si="5"/>
        <v>0</v>
      </c>
      <c r="H48" s="60">
        <v>3.9689999999999996E-2</v>
      </c>
      <c r="I48" s="92">
        <f t="shared" si="6"/>
        <v>3.9689999999999996E-2</v>
      </c>
      <c r="J48" s="32">
        <f t="shared" si="7"/>
        <v>87.317999999999998</v>
      </c>
      <c r="K48" s="105">
        <f t="shared" si="8"/>
        <v>0</v>
      </c>
      <c r="L48" s="112"/>
    </row>
    <row r="49" spans="1:12" ht="25.05" customHeight="1" thickBot="1" x14ac:dyDescent="0.35">
      <c r="A49" s="114" t="s">
        <v>118</v>
      </c>
      <c r="B49" s="30" t="s">
        <v>96</v>
      </c>
      <c r="C49" s="31" t="s">
        <v>82</v>
      </c>
      <c r="D49" s="32">
        <v>40000</v>
      </c>
      <c r="E49" s="93">
        <v>1</v>
      </c>
      <c r="F49" s="90">
        <v>0.5</v>
      </c>
      <c r="G49" s="73">
        <f t="shared" si="5"/>
        <v>0.25</v>
      </c>
      <c r="H49" s="60">
        <v>0.25</v>
      </c>
      <c r="I49" s="92">
        <f t="shared" si="6"/>
        <v>0.5</v>
      </c>
      <c r="J49" s="32">
        <f t="shared" si="7"/>
        <v>10000</v>
      </c>
      <c r="K49" s="105">
        <f t="shared" si="8"/>
        <v>10000</v>
      </c>
      <c r="L49" s="112"/>
    </row>
    <row r="50" spans="1:12" ht="25.05" customHeight="1" thickBot="1" x14ac:dyDescent="0.35">
      <c r="A50" s="126" t="s">
        <v>103</v>
      </c>
      <c r="B50" s="127"/>
      <c r="C50" s="127"/>
      <c r="D50" s="127"/>
      <c r="E50" s="127"/>
      <c r="F50" s="127"/>
      <c r="G50" s="127"/>
      <c r="H50" s="127"/>
      <c r="I50" s="127"/>
      <c r="J50" s="94"/>
      <c r="K50" s="103"/>
      <c r="L50" s="112"/>
    </row>
    <row r="51" spans="1:12" ht="25.05" customHeight="1" x14ac:dyDescent="0.3">
      <c r="A51" s="113" t="s">
        <v>3</v>
      </c>
      <c r="B51" s="78" t="s">
        <v>108</v>
      </c>
      <c r="C51" s="79" t="s">
        <v>65</v>
      </c>
      <c r="D51" s="80">
        <v>162</v>
      </c>
      <c r="E51" s="31">
        <v>716.97</v>
      </c>
      <c r="F51" s="90">
        <v>1</v>
      </c>
      <c r="G51" s="73">
        <f>E51*F51-H51</f>
        <v>32.263649999999984</v>
      </c>
      <c r="H51" s="82">
        <v>684.70635000000004</v>
      </c>
      <c r="I51" s="91">
        <f t="shared" ref="I51:I67" si="9">G51+H51</f>
        <v>716.97</v>
      </c>
      <c r="J51" s="80">
        <f t="shared" ref="J51:J67" si="10">H51*D51</f>
        <v>110922.4287</v>
      </c>
      <c r="K51" s="104">
        <f t="shared" ref="K51:K67" si="11">G51*D51</f>
        <v>5226.7112999999972</v>
      </c>
      <c r="L51" s="112"/>
    </row>
    <row r="52" spans="1:12" ht="25.05" customHeight="1" x14ac:dyDescent="0.3">
      <c r="A52" s="114" t="s">
        <v>4</v>
      </c>
      <c r="B52" s="30" t="s">
        <v>109</v>
      </c>
      <c r="C52" s="31" t="s">
        <v>54</v>
      </c>
      <c r="D52" s="32">
        <v>2200</v>
      </c>
      <c r="E52" s="31">
        <f>11824.12/1000</f>
        <v>11.824120000000001</v>
      </c>
      <c r="F52" s="90">
        <v>1</v>
      </c>
      <c r="G52" s="73">
        <f t="shared" ref="G52:G67" si="12">E52*F52-H52</f>
        <v>0.53208539999999971</v>
      </c>
      <c r="H52" s="59">
        <v>11.292034600000001</v>
      </c>
      <c r="I52" s="92">
        <f t="shared" si="9"/>
        <v>11.824120000000001</v>
      </c>
      <c r="J52" s="32">
        <f t="shared" si="10"/>
        <v>24842.476120000003</v>
      </c>
      <c r="K52" s="105">
        <f t="shared" si="11"/>
        <v>1170.5878799999994</v>
      </c>
      <c r="L52" s="112"/>
    </row>
    <row r="53" spans="1:12" ht="25.05" customHeight="1" x14ac:dyDescent="0.3">
      <c r="A53" s="114" t="s">
        <v>5</v>
      </c>
      <c r="B53" s="30" t="s">
        <v>119</v>
      </c>
      <c r="C53" s="31" t="s">
        <v>65</v>
      </c>
      <c r="D53" s="32">
        <v>25</v>
      </c>
      <c r="E53" s="31">
        <v>32</v>
      </c>
      <c r="F53" s="90">
        <v>1</v>
      </c>
      <c r="G53" s="73">
        <f t="shared" si="12"/>
        <v>0</v>
      </c>
      <c r="H53" s="59">
        <v>32</v>
      </c>
      <c r="I53" s="92">
        <f t="shared" si="9"/>
        <v>32</v>
      </c>
      <c r="J53" s="32">
        <f t="shared" si="10"/>
        <v>800</v>
      </c>
      <c r="K53" s="105">
        <f t="shared" si="11"/>
        <v>0</v>
      </c>
      <c r="L53" s="112"/>
    </row>
    <row r="54" spans="1:12" ht="25.05" customHeight="1" x14ac:dyDescent="0.3">
      <c r="A54" s="114" t="s">
        <v>6</v>
      </c>
      <c r="B54" s="30" t="s">
        <v>120</v>
      </c>
      <c r="C54" s="31" t="s">
        <v>24</v>
      </c>
      <c r="D54" s="32">
        <v>1900</v>
      </c>
      <c r="E54" s="31">
        <v>3.69</v>
      </c>
      <c r="F54" s="90">
        <v>1</v>
      </c>
      <c r="G54" s="73">
        <f t="shared" si="12"/>
        <v>3.69</v>
      </c>
      <c r="H54" s="59">
        <v>0</v>
      </c>
      <c r="I54" s="92">
        <f t="shared" si="9"/>
        <v>3.69</v>
      </c>
      <c r="J54" s="32">
        <f t="shared" si="10"/>
        <v>0</v>
      </c>
      <c r="K54" s="105">
        <f t="shared" si="11"/>
        <v>7011</v>
      </c>
      <c r="L54" s="112"/>
    </row>
    <row r="55" spans="1:12" ht="25.05" customHeight="1" x14ac:dyDescent="0.3">
      <c r="A55" s="114" t="s">
        <v>7</v>
      </c>
      <c r="B55" s="30" t="s">
        <v>121</v>
      </c>
      <c r="C55" s="31" t="s">
        <v>90</v>
      </c>
      <c r="D55" s="32">
        <v>2.2000000000000002</v>
      </c>
      <c r="E55" s="31">
        <v>409</v>
      </c>
      <c r="F55" s="90">
        <v>1</v>
      </c>
      <c r="G55" s="73">
        <f t="shared" si="12"/>
        <v>409</v>
      </c>
      <c r="H55" s="59">
        <v>0</v>
      </c>
      <c r="I55" s="92">
        <f t="shared" si="9"/>
        <v>409</v>
      </c>
      <c r="J55" s="32">
        <f t="shared" si="10"/>
        <v>0</v>
      </c>
      <c r="K55" s="105">
        <f t="shared" si="11"/>
        <v>899.80000000000007</v>
      </c>
      <c r="L55" s="112"/>
    </row>
    <row r="56" spans="1:12" ht="25.05" customHeight="1" x14ac:dyDescent="0.3">
      <c r="A56" s="114" t="s">
        <v>68</v>
      </c>
      <c r="B56" s="30" t="s">
        <v>122</v>
      </c>
      <c r="C56" s="31" t="s">
        <v>24</v>
      </c>
      <c r="D56" s="32">
        <v>1800</v>
      </c>
      <c r="E56" s="31">
        <v>8.58</v>
      </c>
      <c r="F56" s="90">
        <v>1</v>
      </c>
      <c r="G56" s="73">
        <f t="shared" si="12"/>
        <v>8.58</v>
      </c>
      <c r="H56" s="59">
        <v>0</v>
      </c>
      <c r="I56" s="92">
        <f t="shared" si="9"/>
        <v>8.58</v>
      </c>
      <c r="J56" s="32">
        <f t="shared" si="10"/>
        <v>0</v>
      </c>
      <c r="K56" s="105">
        <f t="shared" si="11"/>
        <v>15444</v>
      </c>
      <c r="L56" s="112"/>
    </row>
    <row r="57" spans="1:12" ht="25.05" customHeight="1" x14ac:dyDescent="0.3">
      <c r="A57" s="114" t="s">
        <v>69</v>
      </c>
      <c r="B57" s="30" t="s">
        <v>123</v>
      </c>
      <c r="C57" s="31" t="s">
        <v>90</v>
      </c>
      <c r="D57" s="32">
        <v>2.2000000000000002</v>
      </c>
      <c r="E57" s="31">
        <v>950</v>
      </c>
      <c r="F57" s="90">
        <v>1</v>
      </c>
      <c r="G57" s="73">
        <f t="shared" si="12"/>
        <v>950</v>
      </c>
      <c r="H57" s="59">
        <v>0</v>
      </c>
      <c r="I57" s="92">
        <f t="shared" si="9"/>
        <v>950</v>
      </c>
      <c r="J57" s="32">
        <f t="shared" si="10"/>
        <v>0</v>
      </c>
      <c r="K57" s="105">
        <f t="shared" si="11"/>
        <v>2090</v>
      </c>
      <c r="L57" s="112"/>
    </row>
    <row r="58" spans="1:12" ht="25.05" customHeight="1" x14ac:dyDescent="0.3">
      <c r="A58" s="114" t="s">
        <v>70</v>
      </c>
      <c r="B58" s="30" t="s">
        <v>124</v>
      </c>
      <c r="C58" s="31" t="s">
        <v>24</v>
      </c>
      <c r="D58" s="32">
        <v>1800</v>
      </c>
      <c r="E58" s="31">
        <v>0.28000000000000003</v>
      </c>
      <c r="F58" s="90">
        <v>1</v>
      </c>
      <c r="G58" s="73">
        <f t="shared" si="12"/>
        <v>0.28000000000000003</v>
      </c>
      <c r="H58" s="59">
        <v>0</v>
      </c>
      <c r="I58" s="92">
        <f t="shared" si="9"/>
        <v>0.28000000000000003</v>
      </c>
      <c r="J58" s="32">
        <f t="shared" si="10"/>
        <v>0</v>
      </c>
      <c r="K58" s="105">
        <f t="shared" si="11"/>
        <v>504.00000000000006</v>
      </c>
      <c r="L58" s="112"/>
    </row>
    <row r="59" spans="1:12" ht="25.05" customHeight="1" x14ac:dyDescent="0.3">
      <c r="A59" s="114" t="s">
        <v>84</v>
      </c>
      <c r="B59" s="30" t="s">
        <v>125</v>
      </c>
      <c r="C59" s="31" t="s">
        <v>90</v>
      </c>
      <c r="D59" s="32">
        <v>2.2000000000000002</v>
      </c>
      <c r="E59" s="31">
        <v>448</v>
      </c>
      <c r="F59" s="90">
        <v>1</v>
      </c>
      <c r="G59" s="73">
        <f t="shared" si="12"/>
        <v>448</v>
      </c>
      <c r="H59" s="59">
        <v>0</v>
      </c>
      <c r="I59" s="92">
        <f t="shared" si="9"/>
        <v>448</v>
      </c>
      <c r="J59" s="32">
        <f t="shared" si="10"/>
        <v>0</v>
      </c>
      <c r="K59" s="105">
        <f t="shared" si="11"/>
        <v>985.60000000000014</v>
      </c>
      <c r="L59" s="112"/>
    </row>
    <row r="60" spans="1:12" ht="25.05" customHeight="1" x14ac:dyDescent="0.3">
      <c r="A60" s="114" t="s">
        <v>85</v>
      </c>
      <c r="B60" s="30" t="s">
        <v>126</v>
      </c>
      <c r="C60" s="31" t="s">
        <v>113</v>
      </c>
      <c r="D60" s="32">
        <v>180</v>
      </c>
      <c r="E60" s="31">
        <f>9*2*3</f>
        <v>54</v>
      </c>
      <c r="F60" s="90">
        <v>1</v>
      </c>
      <c r="G60" s="73">
        <f t="shared" si="12"/>
        <v>54</v>
      </c>
      <c r="H60" s="59">
        <v>0</v>
      </c>
      <c r="I60" s="92">
        <f t="shared" si="9"/>
        <v>54</v>
      </c>
      <c r="J60" s="32">
        <f t="shared" si="10"/>
        <v>0</v>
      </c>
      <c r="K60" s="105">
        <f t="shared" si="11"/>
        <v>9720</v>
      </c>
      <c r="L60" s="112"/>
    </row>
    <row r="61" spans="1:12" ht="25.05" customHeight="1" x14ac:dyDescent="0.3">
      <c r="A61" s="114" t="s">
        <v>86</v>
      </c>
      <c r="B61" s="30" t="s">
        <v>127</v>
      </c>
      <c r="C61" s="31" t="s">
        <v>90</v>
      </c>
      <c r="D61" s="32">
        <v>2.2000000000000002</v>
      </c>
      <c r="E61" s="31">
        <v>540</v>
      </c>
      <c r="F61" s="90">
        <v>1</v>
      </c>
      <c r="G61" s="73">
        <f t="shared" si="12"/>
        <v>540</v>
      </c>
      <c r="H61" s="59">
        <v>0</v>
      </c>
      <c r="I61" s="92">
        <f t="shared" si="9"/>
        <v>540</v>
      </c>
      <c r="J61" s="32">
        <f t="shared" si="10"/>
        <v>0</v>
      </c>
      <c r="K61" s="105">
        <f t="shared" si="11"/>
        <v>1188</v>
      </c>
      <c r="L61" s="112"/>
    </row>
    <row r="62" spans="1:12" ht="25.05" customHeight="1" x14ac:dyDescent="0.3">
      <c r="A62" s="114" t="s">
        <v>97</v>
      </c>
      <c r="B62" s="30" t="s">
        <v>128</v>
      </c>
      <c r="C62" s="31" t="s">
        <v>65</v>
      </c>
      <c r="D62" s="32">
        <v>162</v>
      </c>
      <c r="E62" s="31">
        <v>971</v>
      </c>
      <c r="F62" s="90">
        <v>1</v>
      </c>
      <c r="G62" s="73">
        <f t="shared" si="12"/>
        <v>971</v>
      </c>
      <c r="H62" s="59">
        <v>0</v>
      </c>
      <c r="I62" s="92">
        <f t="shared" si="9"/>
        <v>971</v>
      </c>
      <c r="J62" s="32">
        <f t="shared" si="10"/>
        <v>0</v>
      </c>
      <c r="K62" s="105">
        <f t="shared" si="11"/>
        <v>157302</v>
      </c>
      <c r="L62" s="112"/>
    </row>
    <row r="63" spans="1:12" ht="25.05" customHeight="1" x14ac:dyDescent="0.3">
      <c r="A63" s="114" t="s">
        <v>98</v>
      </c>
      <c r="B63" s="30" t="s">
        <v>129</v>
      </c>
      <c r="C63" s="31" t="s">
        <v>90</v>
      </c>
      <c r="D63" s="32">
        <v>2.2000000000000002</v>
      </c>
      <c r="E63" s="31">
        <v>13220</v>
      </c>
      <c r="F63" s="90">
        <v>1</v>
      </c>
      <c r="G63" s="73">
        <f t="shared" si="12"/>
        <v>13220</v>
      </c>
      <c r="H63" s="59">
        <v>0</v>
      </c>
      <c r="I63" s="92">
        <f t="shared" si="9"/>
        <v>13220</v>
      </c>
      <c r="J63" s="32">
        <f t="shared" si="10"/>
        <v>0</v>
      </c>
      <c r="K63" s="105">
        <f t="shared" si="11"/>
        <v>29084.000000000004</v>
      </c>
      <c r="L63" s="112"/>
    </row>
    <row r="64" spans="1:12" ht="25.05" customHeight="1" x14ac:dyDescent="0.3">
      <c r="A64" s="114" t="s">
        <v>99</v>
      </c>
      <c r="B64" s="30" t="s">
        <v>130</v>
      </c>
      <c r="C64" s="31" t="s">
        <v>65</v>
      </c>
      <c r="D64" s="32">
        <v>162</v>
      </c>
      <c r="E64" s="31">
        <v>63.83</v>
      </c>
      <c r="F64" s="90">
        <v>1</v>
      </c>
      <c r="G64" s="73">
        <f t="shared" si="12"/>
        <v>63.83</v>
      </c>
      <c r="H64" s="59">
        <v>0</v>
      </c>
      <c r="I64" s="92">
        <f t="shared" si="9"/>
        <v>63.83</v>
      </c>
      <c r="J64" s="32">
        <f t="shared" si="10"/>
        <v>0</v>
      </c>
      <c r="K64" s="105">
        <f t="shared" si="11"/>
        <v>10340.459999999999</v>
      </c>
      <c r="L64" s="112"/>
    </row>
    <row r="65" spans="1:13" ht="25.05" customHeight="1" x14ac:dyDescent="0.3">
      <c r="A65" s="114" t="s">
        <v>104</v>
      </c>
      <c r="B65" s="30" t="s">
        <v>131</v>
      </c>
      <c r="C65" s="31" t="s">
        <v>90</v>
      </c>
      <c r="D65" s="32">
        <v>2.2000000000000002</v>
      </c>
      <c r="E65" s="31">
        <v>1156</v>
      </c>
      <c r="F65" s="90">
        <v>1</v>
      </c>
      <c r="G65" s="73">
        <f t="shared" si="12"/>
        <v>1156</v>
      </c>
      <c r="H65" s="59">
        <v>0</v>
      </c>
      <c r="I65" s="92">
        <f t="shared" si="9"/>
        <v>1156</v>
      </c>
      <c r="J65" s="32">
        <f t="shared" si="10"/>
        <v>0</v>
      </c>
      <c r="K65" s="105">
        <f t="shared" si="11"/>
        <v>2543.2000000000003</v>
      </c>
      <c r="L65" s="112"/>
    </row>
    <row r="66" spans="1:13" ht="25.05" customHeight="1" x14ac:dyDescent="0.3">
      <c r="A66" s="114" t="s">
        <v>105</v>
      </c>
      <c r="B66" s="30" t="s">
        <v>100</v>
      </c>
      <c r="C66" s="31" t="s">
        <v>67</v>
      </c>
      <c r="D66" s="32">
        <v>60</v>
      </c>
      <c r="E66" s="31">
        <v>50.14</v>
      </c>
      <c r="F66" s="90">
        <v>1</v>
      </c>
      <c r="G66" s="73">
        <f t="shared" si="12"/>
        <v>50.14</v>
      </c>
      <c r="H66" s="59">
        <v>0</v>
      </c>
      <c r="I66" s="92">
        <f t="shared" si="9"/>
        <v>50.14</v>
      </c>
      <c r="J66" s="32">
        <f t="shared" si="10"/>
        <v>0</v>
      </c>
      <c r="K66" s="105">
        <f t="shared" si="11"/>
        <v>3008.4</v>
      </c>
      <c r="L66" s="112"/>
    </row>
    <row r="67" spans="1:13" ht="25.05" customHeight="1" x14ac:dyDescent="0.3">
      <c r="A67" s="114"/>
      <c r="B67" s="30"/>
      <c r="C67" s="31"/>
      <c r="D67" s="32"/>
      <c r="E67" s="31"/>
      <c r="F67" s="90">
        <v>1</v>
      </c>
      <c r="G67" s="73">
        <f t="shared" si="12"/>
        <v>0</v>
      </c>
      <c r="H67" s="59">
        <v>0</v>
      </c>
      <c r="I67" s="92">
        <f t="shared" si="9"/>
        <v>0</v>
      </c>
      <c r="J67" s="32">
        <f t="shared" si="10"/>
        <v>0</v>
      </c>
      <c r="K67" s="105">
        <f t="shared" si="11"/>
        <v>0</v>
      </c>
      <c r="L67" s="112"/>
    </row>
    <row r="68" spans="1:13" ht="16.8" customHeight="1" thickBot="1" x14ac:dyDescent="0.35">
      <c r="A68" s="114"/>
      <c r="B68" s="30"/>
      <c r="C68" s="31"/>
      <c r="D68" s="32"/>
      <c r="E68" s="32"/>
      <c r="F68" s="32"/>
      <c r="G68" s="73">
        <f t="shared" si="4"/>
        <v>0</v>
      </c>
      <c r="H68" s="60">
        <v>0</v>
      </c>
      <c r="I68" s="92">
        <f t="shared" si="1"/>
        <v>0</v>
      </c>
      <c r="J68" s="32">
        <f t="shared" si="2"/>
        <v>0</v>
      </c>
      <c r="K68" s="48">
        <f t="shared" si="3"/>
        <v>0</v>
      </c>
      <c r="L68" s="110"/>
    </row>
    <row r="69" spans="1:13" ht="30" customHeight="1" thickBot="1" x14ac:dyDescent="0.4">
      <c r="A69" s="35" t="s">
        <v>33</v>
      </c>
      <c r="B69" s="36"/>
      <c r="C69" s="37"/>
      <c r="D69" s="38"/>
      <c r="E69" s="38"/>
      <c r="F69" s="38"/>
      <c r="G69" s="67"/>
      <c r="H69" s="39"/>
      <c r="I69" s="36"/>
      <c r="J69" s="39">
        <f>SUM(J18:J68)</f>
        <v>1410070.6220308004</v>
      </c>
      <c r="K69" s="43">
        <f>SUM(K18:K68)</f>
        <v>256517.75917999999</v>
      </c>
      <c r="L69" s="40"/>
    </row>
    <row r="70" spans="1:13" x14ac:dyDescent="0.3">
      <c r="A70" s="16" t="s">
        <v>18</v>
      </c>
      <c r="L70" s="15"/>
    </row>
    <row r="71" spans="1:13" ht="15.6" x14ac:dyDescent="0.3">
      <c r="A71" s="16"/>
      <c r="B71" s="115" t="s">
        <v>102</v>
      </c>
      <c r="L71" s="15"/>
    </row>
    <row r="72" spans="1:13" x14ac:dyDescent="0.3">
      <c r="A72" s="16"/>
      <c r="L72" s="15"/>
    </row>
    <row r="73" spans="1:13" ht="15" thickBot="1" x14ac:dyDescent="0.35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3"/>
      <c r="M73" s="89"/>
    </row>
    <row r="74" spans="1:13" x14ac:dyDescent="0.3">
      <c r="A74" s="22"/>
      <c r="L74" s="15"/>
    </row>
    <row r="75" spans="1:13" x14ac:dyDescent="0.3">
      <c r="A75" s="22"/>
      <c r="B75" s="26" t="s">
        <v>55</v>
      </c>
      <c r="C75" s="26"/>
      <c r="D75" s="26"/>
      <c r="E75" s="26"/>
      <c r="F75" s="26"/>
      <c r="G75" s="26" t="s">
        <v>11</v>
      </c>
      <c r="H75" s="26"/>
      <c r="K75" s="26" t="s">
        <v>12</v>
      </c>
      <c r="L75" s="15"/>
    </row>
    <row r="76" spans="1:13" x14ac:dyDescent="0.3">
      <c r="A76" s="22"/>
      <c r="B76" s="1"/>
      <c r="C76" s="1"/>
      <c r="D76" s="1"/>
      <c r="E76" s="1"/>
      <c r="F76" s="1"/>
      <c r="L76" s="15"/>
    </row>
    <row r="77" spans="1:13" x14ac:dyDescent="0.3">
      <c r="A77" s="22"/>
      <c r="B77" s="1"/>
      <c r="C77" s="1"/>
      <c r="D77" s="1"/>
      <c r="E77" s="1"/>
      <c r="F77" s="1"/>
      <c r="G77" s="1" t="s">
        <v>48</v>
      </c>
      <c r="H77" s="1"/>
      <c r="K77" s="1" t="s">
        <v>15</v>
      </c>
      <c r="L77" s="15"/>
      <c r="M77" s="89"/>
    </row>
    <row r="78" spans="1:13" x14ac:dyDescent="0.3">
      <c r="A78" s="22"/>
      <c r="L78" s="15"/>
    </row>
    <row r="79" spans="1:13" x14ac:dyDescent="0.3">
      <c r="A79" s="22"/>
      <c r="L79" s="15"/>
    </row>
    <row r="80" spans="1:13" ht="15" thickBot="1" x14ac:dyDescent="0.35">
      <c r="A80" s="1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3"/>
    </row>
  </sheetData>
  <mergeCells count="13">
    <mergeCell ref="M8:N8"/>
    <mergeCell ref="I9:L9"/>
    <mergeCell ref="M9:N9"/>
    <mergeCell ref="A50:I50"/>
    <mergeCell ref="B1:H1"/>
    <mergeCell ref="I1:L2"/>
    <mergeCell ref="A2:H2"/>
    <mergeCell ref="I8:L8"/>
    <mergeCell ref="I10:L10"/>
    <mergeCell ref="M10:N10"/>
    <mergeCell ref="I12:J12"/>
    <mergeCell ref="A17:L17"/>
    <mergeCell ref="A29:I29"/>
  </mergeCells>
  <phoneticPr fontId="4" type="noConversion"/>
  <pageMargins left="0.25" right="0.25" top="0.75" bottom="0.75" header="0.3" footer="0.3"/>
  <pageSetup paperSize="9" scale="5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8843-2983-4351-82E5-15069A479C03}">
  <sheetPr>
    <pageSetUpPr fitToPage="1"/>
  </sheetPr>
  <dimension ref="A1:R67"/>
  <sheetViews>
    <sheetView topLeftCell="A35" zoomScale="55" zoomScaleNormal="55" workbookViewId="0">
      <selection activeCell="D52" sqref="D52"/>
    </sheetView>
  </sheetViews>
  <sheetFormatPr defaultRowHeight="14.4" x14ac:dyDescent="0.3"/>
  <cols>
    <col min="1" max="1" width="13" customWidth="1"/>
    <col min="2" max="2" width="65.88671875" customWidth="1"/>
    <col min="3" max="3" width="11.109375" customWidth="1"/>
    <col min="4" max="6" width="16.109375" customWidth="1"/>
    <col min="7" max="7" width="16.33203125" customWidth="1"/>
    <col min="8" max="8" width="11.6640625" customWidth="1"/>
    <col min="9" max="9" width="15" customWidth="1"/>
    <col min="10" max="10" width="16.5546875" bestFit="1" customWidth="1"/>
    <col min="11" max="11" width="21.6640625" bestFit="1" customWidth="1"/>
    <col min="12" max="12" width="36.44140625" customWidth="1"/>
    <col min="13" max="13" width="19.33203125" bestFit="1" customWidth="1"/>
    <col min="14" max="14" width="15.77734375" customWidth="1"/>
    <col min="15" max="15" width="12.77734375" bestFit="1" customWidth="1"/>
    <col min="17" max="17" width="9.88671875" customWidth="1"/>
    <col min="18" max="18" width="13.6640625" customWidth="1"/>
    <col min="19" max="19" width="14.44140625" customWidth="1"/>
  </cols>
  <sheetData>
    <row r="1" spans="1:18" ht="94.2" customHeight="1" thickBot="1" x14ac:dyDescent="0.35">
      <c r="A1" s="2" t="s">
        <v>19</v>
      </c>
      <c r="B1" s="128" t="s">
        <v>36</v>
      </c>
      <c r="C1" s="128"/>
      <c r="D1" s="128"/>
      <c r="E1" s="128"/>
      <c r="F1" s="128"/>
      <c r="G1" s="128"/>
      <c r="H1" s="129"/>
      <c r="I1" s="130"/>
      <c r="J1" s="130"/>
      <c r="K1" s="130"/>
      <c r="L1" s="131"/>
    </row>
    <row r="2" spans="1:18" ht="46.8" customHeight="1" x14ac:dyDescent="0.3">
      <c r="A2" s="134" t="s">
        <v>38</v>
      </c>
      <c r="B2" s="135"/>
      <c r="C2" s="135"/>
      <c r="D2" s="135"/>
      <c r="E2" s="135"/>
      <c r="F2" s="135"/>
      <c r="G2" s="135"/>
      <c r="H2" s="136"/>
      <c r="I2" s="132"/>
      <c r="J2" s="132"/>
      <c r="K2" s="132"/>
      <c r="L2" s="133"/>
    </row>
    <row r="3" spans="1:18" ht="15" customHeight="1" x14ac:dyDescent="0.3">
      <c r="A3" s="9" t="s">
        <v>14</v>
      </c>
      <c r="B3" s="20" t="s">
        <v>20</v>
      </c>
      <c r="C3" s="20"/>
      <c r="D3" s="20"/>
      <c r="E3" s="20"/>
      <c r="F3" s="20"/>
      <c r="G3" s="20"/>
      <c r="H3" s="10"/>
      <c r="I3" s="21"/>
      <c r="J3" s="21"/>
      <c r="K3" s="21"/>
      <c r="L3" s="8"/>
    </row>
    <row r="4" spans="1:18" ht="15" thickBot="1" x14ac:dyDescent="0.35">
      <c r="A4" s="22" t="s">
        <v>13</v>
      </c>
      <c r="B4" s="51" t="s">
        <v>39</v>
      </c>
      <c r="H4" s="15"/>
      <c r="I4" s="64" t="s">
        <v>71</v>
      </c>
      <c r="J4" s="65">
        <v>6</v>
      </c>
      <c r="K4" s="64" t="s">
        <v>9</v>
      </c>
      <c r="L4" s="66">
        <v>46099</v>
      </c>
    </row>
    <row r="5" spans="1:18" ht="15" thickBot="1" x14ac:dyDescent="0.35">
      <c r="A5" s="52"/>
      <c r="B5" s="53" t="s">
        <v>58</v>
      </c>
      <c r="C5" s="54">
        <v>46072</v>
      </c>
      <c r="D5" s="55" t="s">
        <v>57</v>
      </c>
      <c r="E5" s="55"/>
      <c r="F5" s="55"/>
      <c r="G5" s="54">
        <v>46099</v>
      </c>
      <c r="H5" s="56"/>
      <c r="L5" s="15"/>
    </row>
    <row r="6" spans="1:18" x14ac:dyDescent="0.3">
      <c r="A6" s="22" t="s">
        <v>1</v>
      </c>
      <c r="L6" s="15"/>
    </row>
    <row r="7" spans="1:18" x14ac:dyDescent="0.3">
      <c r="A7" s="22"/>
      <c r="L7" s="15"/>
    </row>
    <row r="8" spans="1:18" x14ac:dyDescent="0.3">
      <c r="A8" s="23" t="s">
        <v>0</v>
      </c>
      <c r="B8" s="24" t="s">
        <v>36</v>
      </c>
      <c r="C8" s="24"/>
      <c r="D8" s="24"/>
      <c r="E8" s="24"/>
      <c r="F8" s="24"/>
      <c r="H8" s="24" t="s">
        <v>10</v>
      </c>
      <c r="I8" s="137" t="s">
        <v>43</v>
      </c>
      <c r="J8" s="137"/>
      <c r="K8" s="137"/>
      <c r="L8" s="138"/>
      <c r="M8" s="137"/>
      <c r="N8" s="137"/>
      <c r="O8" s="137"/>
      <c r="P8" s="137"/>
    </row>
    <row r="9" spans="1:18" x14ac:dyDescent="0.3">
      <c r="A9" s="23"/>
      <c r="B9" t="s">
        <v>41</v>
      </c>
      <c r="C9" s="24"/>
      <c r="D9" s="24"/>
      <c r="E9" s="24"/>
      <c r="F9" s="24"/>
      <c r="H9" s="24"/>
      <c r="I9" s="119" t="s">
        <v>44</v>
      </c>
      <c r="J9" s="119"/>
      <c r="K9" s="119"/>
      <c r="L9" s="120"/>
      <c r="M9" s="119"/>
      <c r="N9" s="119"/>
      <c r="O9" s="119"/>
      <c r="P9" s="119"/>
    </row>
    <row r="10" spans="1:18" x14ac:dyDescent="0.3">
      <c r="A10" s="23"/>
      <c r="B10" t="s">
        <v>42</v>
      </c>
      <c r="C10" s="24"/>
      <c r="D10" s="24"/>
      <c r="E10" s="24"/>
      <c r="F10" s="24"/>
      <c r="H10" s="24"/>
      <c r="I10" s="119" t="s">
        <v>45</v>
      </c>
      <c r="J10" s="119"/>
      <c r="K10" s="119"/>
      <c r="L10" s="120"/>
      <c r="M10" s="119"/>
      <c r="N10" s="119"/>
      <c r="O10" s="119"/>
      <c r="P10" s="119"/>
    </row>
    <row r="11" spans="1:18" x14ac:dyDescent="0.3">
      <c r="A11" s="22"/>
      <c r="L11" s="15"/>
    </row>
    <row r="12" spans="1:18" x14ac:dyDescent="0.3">
      <c r="A12" s="25" t="s">
        <v>49</v>
      </c>
      <c r="B12" s="6" t="s">
        <v>46</v>
      </c>
      <c r="C12" s="1"/>
      <c r="D12" s="1"/>
      <c r="E12" s="1"/>
      <c r="F12" s="1"/>
      <c r="G12" s="1"/>
      <c r="H12" s="19" t="s">
        <v>47</v>
      </c>
      <c r="I12" s="121" t="s">
        <v>48</v>
      </c>
      <c r="J12" s="122"/>
      <c r="K12" s="19" t="s">
        <v>50</v>
      </c>
      <c r="L12" s="106" t="s">
        <v>15</v>
      </c>
    </row>
    <row r="13" spans="1:18" x14ac:dyDescent="0.3">
      <c r="A13" s="22"/>
      <c r="L13" s="15"/>
    </row>
    <row r="14" spans="1:18" x14ac:dyDescent="0.3">
      <c r="A14" s="23" t="s">
        <v>16</v>
      </c>
      <c r="D14" s="27"/>
      <c r="E14" s="17"/>
      <c r="F14" s="17"/>
      <c r="L14" s="15"/>
    </row>
    <row r="15" spans="1:18" ht="15" thickBot="1" x14ac:dyDescent="0.35">
      <c r="A15" s="22"/>
      <c r="L15" s="15"/>
    </row>
    <row r="16" spans="1:18" ht="72" x14ac:dyDescent="0.3">
      <c r="A16" s="107" t="s">
        <v>2</v>
      </c>
      <c r="B16" s="28" t="s">
        <v>17</v>
      </c>
      <c r="C16" s="27" t="s">
        <v>22</v>
      </c>
      <c r="D16" s="27" t="s">
        <v>23</v>
      </c>
      <c r="E16" s="27" t="s">
        <v>87</v>
      </c>
      <c r="F16" s="27" t="s">
        <v>26</v>
      </c>
      <c r="G16" s="27" t="s">
        <v>60</v>
      </c>
      <c r="H16" s="44" t="s">
        <v>61</v>
      </c>
      <c r="I16" s="27" t="s">
        <v>62</v>
      </c>
      <c r="J16" s="44" t="s">
        <v>30</v>
      </c>
      <c r="K16" s="47" t="s">
        <v>27</v>
      </c>
      <c r="L16" s="108" t="s">
        <v>32</v>
      </c>
      <c r="M16" s="17"/>
      <c r="N16" s="97" t="s">
        <v>101</v>
      </c>
      <c r="O16" s="1"/>
      <c r="P16" s="1"/>
      <c r="Q16" s="1"/>
      <c r="R16" s="1"/>
    </row>
    <row r="17" spans="1:18" x14ac:dyDescent="0.3">
      <c r="A17" s="123" t="s">
        <v>59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5"/>
      <c r="M17" s="17"/>
      <c r="N17" s="98"/>
      <c r="O17" s="1"/>
      <c r="P17" s="1"/>
      <c r="Q17" s="1"/>
      <c r="R17" s="1"/>
    </row>
    <row r="18" spans="1:18" ht="25.05" customHeight="1" x14ac:dyDescent="0.3">
      <c r="A18" s="109" t="s">
        <v>3</v>
      </c>
      <c r="B18" s="30" t="s">
        <v>21</v>
      </c>
      <c r="C18" s="31" t="s">
        <v>24</v>
      </c>
      <c r="D18" s="32">
        <v>120</v>
      </c>
      <c r="E18" s="31">
        <v>80.039999999999992</v>
      </c>
      <c r="F18" s="90">
        <v>1</v>
      </c>
      <c r="G18" s="73">
        <f>E18*F18-H18</f>
        <v>0</v>
      </c>
      <c r="H18" s="59">
        <v>80.039999999999992</v>
      </c>
      <c r="I18" s="57">
        <f>H18+G18</f>
        <v>80.039999999999992</v>
      </c>
      <c r="J18" s="32">
        <f>H18*D18</f>
        <v>9604.7999999999993</v>
      </c>
      <c r="K18" s="48">
        <f>G18*D18</f>
        <v>0</v>
      </c>
      <c r="L18" s="110"/>
      <c r="M18" s="14"/>
      <c r="N18" s="99"/>
    </row>
    <row r="19" spans="1:18" ht="25.05" customHeight="1" x14ac:dyDescent="0.3">
      <c r="A19" s="109" t="s">
        <v>4</v>
      </c>
      <c r="B19" s="30" t="s">
        <v>34</v>
      </c>
      <c r="C19" s="31" t="s">
        <v>24</v>
      </c>
      <c r="D19" s="32">
        <v>540</v>
      </c>
      <c r="E19" s="31">
        <v>76.54549999999999</v>
      </c>
      <c r="F19" s="90">
        <v>1</v>
      </c>
      <c r="G19" s="73">
        <f t="shared" ref="G19:G28" si="0">E19*F19-H19</f>
        <v>0</v>
      </c>
      <c r="H19" s="60">
        <v>76.54549999999999</v>
      </c>
      <c r="I19" s="57">
        <f t="shared" ref="I19:I55" si="1">G19+H19</f>
        <v>76.54549999999999</v>
      </c>
      <c r="J19" s="32">
        <f t="shared" ref="J19:J55" si="2">H19*D19</f>
        <v>41334.569999999992</v>
      </c>
      <c r="K19" s="48">
        <f t="shared" ref="K19:K55" si="3">G19*D19</f>
        <v>0</v>
      </c>
      <c r="L19" s="110"/>
      <c r="M19" s="14"/>
      <c r="N19" s="99"/>
    </row>
    <row r="20" spans="1:18" ht="25.05" customHeight="1" x14ac:dyDescent="0.3">
      <c r="A20" s="109" t="s">
        <v>5</v>
      </c>
      <c r="B20" s="30" t="s">
        <v>53</v>
      </c>
      <c r="C20" s="31" t="s">
        <v>24</v>
      </c>
      <c r="D20" s="32">
        <v>435</v>
      </c>
      <c r="E20" s="31">
        <v>97</v>
      </c>
      <c r="F20" s="90">
        <v>1</v>
      </c>
      <c r="G20" s="73">
        <f t="shared" si="0"/>
        <v>0</v>
      </c>
      <c r="H20" s="59">
        <v>97</v>
      </c>
      <c r="I20" s="57">
        <f t="shared" si="1"/>
        <v>97</v>
      </c>
      <c r="J20" s="32">
        <f t="shared" si="2"/>
        <v>42195</v>
      </c>
      <c r="K20" s="48">
        <f t="shared" si="3"/>
        <v>0</v>
      </c>
      <c r="L20" s="110"/>
      <c r="M20" s="14"/>
      <c r="N20" s="99"/>
    </row>
    <row r="21" spans="1:18" ht="25.05" customHeight="1" x14ac:dyDescent="0.3">
      <c r="A21" s="109" t="s">
        <v>6</v>
      </c>
      <c r="B21" s="30" t="s">
        <v>51</v>
      </c>
      <c r="C21" s="31" t="s">
        <v>24</v>
      </c>
      <c r="D21" s="32">
        <v>270</v>
      </c>
      <c r="E21" s="31">
        <v>124.24000000000001</v>
      </c>
      <c r="F21" s="90">
        <v>1</v>
      </c>
      <c r="G21" s="73">
        <f t="shared" si="0"/>
        <v>0</v>
      </c>
      <c r="H21" s="59">
        <v>124.24000000000001</v>
      </c>
      <c r="I21" s="57">
        <f t="shared" si="1"/>
        <v>124.24000000000001</v>
      </c>
      <c r="J21" s="32">
        <f t="shared" si="2"/>
        <v>33544.800000000003</v>
      </c>
      <c r="K21" s="48">
        <f t="shared" si="3"/>
        <v>0</v>
      </c>
      <c r="L21" s="110"/>
      <c r="M21" s="14"/>
      <c r="N21" s="99"/>
    </row>
    <row r="22" spans="1:18" ht="25.05" customHeight="1" x14ac:dyDescent="0.3">
      <c r="A22" s="109" t="s">
        <v>7</v>
      </c>
      <c r="B22" s="30" t="s">
        <v>63</v>
      </c>
      <c r="C22" s="31" t="s">
        <v>24</v>
      </c>
      <c r="D22" s="32">
        <v>1900</v>
      </c>
      <c r="E22" s="31">
        <v>12.8855</v>
      </c>
      <c r="F22" s="90">
        <v>1</v>
      </c>
      <c r="G22" s="73">
        <f t="shared" si="0"/>
        <v>0</v>
      </c>
      <c r="H22" s="59">
        <v>12.8855</v>
      </c>
      <c r="I22" s="57">
        <f t="shared" si="1"/>
        <v>12.8855</v>
      </c>
      <c r="J22" s="32">
        <f t="shared" si="2"/>
        <v>24482.45</v>
      </c>
      <c r="K22" s="48">
        <f t="shared" si="3"/>
        <v>0</v>
      </c>
      <c r="L22" s="110"/>
      <c r="M22" s="14"/>
      <c r="N22" s="99"/>
    </row>
    <row r="23" spans="1:18" ht="25.05" customHeight="1" x14ac:dyDescent="0.3">
      <c r="A23" s="109" t="s">
        <v>68</v>
      </c>
      <c r="B23" s="30" t="s">
        <v>66</v>
      </c>
      <c r="C23" s="31" t="s">
        <v>67</v>
      </c>
      <c r="D23" s="58">
        <v>325</v>
      </c>
      <c r="E23" s="31">
        <v>10.5</v>
      </c>
      <c r="F23" s="90">
        <v>1</v>
      </c>
      <c r="G23" s="73">
        <f t="shared" si="0"/>
        <v>0</v>
      </c>
      <c r="H23" s="59">
        <v>10.5</v>
      </c>
      <c r="I23" s="57">
        <f t="shared" si="1"/>
        <v>10.5</v>
      </c>
      <c r="J23" s="32">
        <f t="shared" si="2"/>
        <v>3412.5</v>
      </c>
      <c r="K23" s="48">
        <f t="shared" si="3"/>
        <v>0</v>
      </c>
      <c r="L23" s="110"/>
      <c r="M23" s="14"/>
      <c r="N23" s="99"/>
    </row>
    <row r="24" spans="1:18" ht="25.05" customHeight="1" x14ac:dyDescent="0.3">
      <c r="A24" s="109" t="s">
        <v>69</v>
      </c>
      <c r="B24" s="30" t="s">
        <v>64</v>
      </c>
      <c r="C24" s="31" t="s">
        <v>65</v>
      </c>
      <c r="D24" s="58">
        <v>162</v>
      </c>
      <c r="E24" s="31">
        <v>378.42</v>
      </c>
      <c r="F24" s="90">
        <v>1</v>
      </c>
      <c r="G24" s="73">
        <f t="shared" si="0"/>
        <v>0</v>
      </c>
      <c r="H24" s="59">
        <v>378.42</v>
      </c>
      <c r="I24" s="57">
        <f t="shared" si="1"/>
        <v>378.42</v>
      </c>
      <c r="J24" s="32">
        <f t="shared" si="2"/>
        <v>61304.04</v>
      </c>
      <c r="K24" s="48">
        <f t="shared" si="3"/>
        <v>0</v>
      </c>
      <c r="L24" s="110"/>
      <c r="M24" s="14">
        <f>I24*0.18</f>
        <v>68.115600000000001</v>
      </c>
      <c r="N24" s="99"/>
    </row>
    <row r="25" spans="1:18" ht="25.05" customHeight="1" x14ac:dyDescent="0.3">
      <c r="A25" s="109" t="s">
        <v>70</v>
      </c>
      <c r="B25" s="30" t="s">
        <v>52</v>
      </c>
      <c r="C25" s="31" t="s">
        <v>54</v>
      </c>
      <c r="D25" s="32">
        <v>2200</v>
      </c>
      <c r="E25" s="31">
        <v>31.18805</v>
      </c>
      <c r="F25" s="90">
        <v>1</v>
      </c>
      <c r="G25" s="73">
        <f t="shared" si="0"/>
        <v>0</v>
      </c>
      <c r="H25" s="59">
        <v>31.18805</v>
      </c>
      <c r="I25" s="57">
        <f t="shared" si="1"/>
        <v>31.18805</v>
      </c>
      <c r="J25" s="32">
        <f t="shared" si="2"/>
        <v>68613.710000000006</v>
      </c>
      <c r="K25" s="48">
        <f t="shared" si="3"/>
        <v>0</v>
      </c>
      <c r="L25" s="110"/>
      <c r="M25" s="14"/>
      <c r="N25" s="99"/>
    </row>
    <row r="26" spans="1:18" ht="25.05" customHeight="1" x14ac:dyDescent="0.3">
      <c r="A26" s="109" t="s">
        <v>84</v>
      </c>
      <c r="B26" s="30" t="s">
        <v>72</v>
      </c>
      <c r="C26" s="31" t="s">
        <v>65</v>
      </c>
      <c r="D26" s="32">
        <v>32.5</v>
      </c>
      <c r="E26" s="31">
        <v>1359.1435999999999</v>
      </c>
      <c r="F26" s="90">
        <v>1</v>
      </c>
      <c r="G26" s="73">
        <f t="shared" si="0"/>
        <v>0</v>
      </c>
      <c r="H26" s="59">
        <v>1359.1435999999999</v>
      </c>
      <c r="I26" s="57">
        <f t="shared" si="1"/>
        <v>1359.1435999999999</v>
      </c>
      <c r="J26" s="32">
        <f t="shared" si="2"/>
        <v>44172.166999999994</v>
      </c>
      <c r="K26" s="48">
        <f t="shared" si="3"/>
        <v>0</v>
      </c>
      <c r="L26" s="110"/>
      <c r="M26" s="14">
        <v>120</v>
      </c>
      <c r="N26" s="99"/>
    </row>
    <row r="27" spans="1:18" ht="25.05" customHeight="1" x14ac:dyDescent="0.3">
      <c r="A27" s="109" t="s">
        <v>85</v>
      </c>
      <c r="B27" s="30" t="s">
        <v>73</v>
      </c>
      <c r="C27" s="63" t="s">
        <v>24</v>
      </c>
      <c r="D27" s="32">
        <f>120</f>
        <v>120</v>
      </c>
      <c r="E27" s="31">
        <v>135.91435999999999</v>
      </c>
      <c r="F27" s="90">
        <v>1</v>
      </c>
      <c r="G27" s="73">
        <f t="shared" si="0"/>
        <v>0</v>
      </c>
      <c r="H27" s="59">
        <v>135.91435999999999</v>
      </c>
      <c r="I27" s="57">
        <f t="shared" si="1"/>
        <v>135.91435999999999</v>
      </c>
      <c r="J27" s="32">
        <f t="shared" si="2"/>
        <v>16309.723199999999</v>
      </c>
      <c r="K27" s="48">
        <f t="shared" si="3"/>
        <v>0</v>
      </c>
      <c r="L27" s="110"/>
      <c r="M27" s="14">
        <v>40</v>
      </c>
      <c r="N27" s="99"/>
    </row>
    <row r="28" spans="1:18" ht="25.05" customHeight="1" thickBot="1" x14ac:dyDescent="0.35">
      <c r="A28" s="109" t="s">
        <v>86</v>
      </c>
      <c r="B28" s="62" t="s">
        <v>74</v>
      </c>
      <c r="C28" s="63" t="s">
        <v>65</v>
      </c>
      <c r="D28" s="69">
        <f>40-15</f>
        <v>25</v>
      </c>
      <c r="E28" s="31">
        <v>86.222499999999997</v>
      </c>
      <c r="F28" s="90">
        <v>1</v>
      </c>
      <c r="G28" s="73">
        <f t="shared" si="0"/>
        <v>0</v>
      </c>
      <c r="H28" s="70">
        <v>86.222499999999997</v>
      </c>
      <c r="I28" s="71">
        <f t="shared" si="1"/>
        <v>86.222499999999997</v>
      </c>
      <c r="J28" s="69">
        <f t="shared" si="2"/>
        <v>2155.5625</v>
      </c>
      <c r="K28" s="75">
        <f t="shared" si="3"/>
        <v>0</v>
      </c>
      <c r="L28" s="111"/>
      <c r="M28" s="14"/>
      <c r="N28" s="99"/>
    </row>
    <row r="29" spans="1:18" s="96" customFormat="1" ht="25.05" customHeight="1" thickBot="1" x14ac:dyDescent="0.35">
      <c r="A29" s="126" t="s">
        <v>75</v>
      </c>
      <c r="B29" s="127"/>
      <c r="C29" s="127"/>
      <c r="D29" s="127"/>
      <c r="E29" s="127"/>
      <c r="F29" s="127"/>
      <c r="G29" s="127"/>
      <c r="H29" s="127"/>
      <c r="I29" s="127"/>
      <c r="J29" s="94"/>
      <c r="K29" s="103"/>
      <c r="L29" s="112"/>
      <c r="M29" s="95"/>
      <c r="N29" s="100"/>
    </row>
    <row r="30" spans="1:18" ht="25.05" customHeight="1" x14ac:dyDescent="0.3">
      <c r="A30" s="113" t="s">
        <v>3</v>
      </c>
      <c r="B30" s="78" t="s">
        <v>76</v>
      </c>
      <c r="C30" s="79" t="s">
        <v>65</v>
      </c>
      <c r="D30" s="80">
        <v>162</v>
      </c>
      <c r="E30" s="31">
        <v>550.1</v>
      </c>
      <c r="F30" s="90">
        <v>1</v>
      </c>
      <c r="G30" s="73">
        <f>E30*F30-H30</f>
        <v>0</v>
      </c>
      <c r="H30" s="82">
        <v>550.1</v>
      </c>
      <c r="I30" s="91">
        <f t="shared" si="1"/>
        <v>550.1</v>
      </c>
      <c r="J30" s="80">
        <f t="shared" si="2"/>
        <v>89116.2</v>
      </c>
      <c r="K30" s="104">
        <f t="shared" si="3"/>
        <v>0</v>
      </c>
      <c r="L30" s="112"/>
      <c r="M30" s="14">
        <f>I30*0.18</f>
        <v>99.018000000000001</v>
      </c>
      <c r="N30" s="99"/>
    </row>
    <row r="31" spans="1:18" ht="25.05" customHeight="1" x14ac:dyDescent="0.3">
      <c r="A31" s="114" t="s">
        <v>4</v>
      </c>
      <c r="B31" s="30" t="s">
        <v>77</v>
      </c>
      <c r="C31" s="31" t="s">
        <v>24</v>
      </c>
      <c r="D31" s="32">
        <v>1900</v>
      </c>
      <c r="E31" s="31">
        <v>30.159999999999997</v>
      </c>
      <c r="F31" s="90">
        <v>1</v>
      </c>
      <c r="G31" s="73">
        <f t="shared" ref="G31:G55" si="4">E31*F31-H31</f>
        <v>0</v>
      </c>
      <c r="H31" s="59">
        <v>30.159999999999997</v>
      </c>
      <c r="I31" s="92">
        <f t="shared" si="1"/>
        <v>30.159999999999997</v>
      </c>
      <c r="J31" s="32">
        <f t="shared" si="2"/>
        <v>57303.999999999993</v>
      </c>
      <c r="K31" s="105">
        <f t="shared" si="3"/>
        <v>0</v>
      </c>
      <c r="L31" s="112"/>
      <c r="M31" s="14"/>
      <c r="N31" s="99"/>
    </row>
    <row r="32" spans="1:18" ht="25.05" customHeight="1" x14ac:dyDescent="0.3">
      <c r="A32" s="114" t="s">
        <v>5</v>
      </c>
      <c r="B32" s="30" t="s">
        <v>78</v>
      </c>
      <c r="C32" s="31" t="s">
        <v>67</v>
      </c>
      <c r="D32" s="32">
        <v>325</v>
      </c>
      <c r="E32" s="31">
        <v>17.989999999999998</v>
      </c>
      <c r="F32" s="90">
        <v>1</v>
      </c>
      <c r="G32" s="73">
        <f t="shared" si="4"/>
        <v>0</v>
      </c>
      <c r="H32" s="59">
        <v>17.989999999999998</v>
      </c>
      <c r="I32" s="92">
        <f t="shared" si="1"/>
        <v>17.989999999999998</v>
      </c>
      <c r="J32" s="32">
        <f t="shared" si="2"/>
        <v>5846.7499999999991</v>
      </c>
      <c r="K32" s="105">
        <f t="shared" si="3"/>
        <v>0</v>
      </c>
      <c r="L32" s="112"/>
      <c r="M32" s="14"/>
      <c r="N32" s="99"/>
    </row>
    <row r="33" spans="1:14" ht="25.05" customHeight="1" x14ac:dyDescent="0.3">
      <c r="A33" s="114" t="s">
        <v>6</v>
      </c>
      <c r="B33" s="30" t="s">
        <v>80</v>
      </c>
      <c r="C33" s="31" t="s">
        <v>24</v>
      </c>
      <c r="D33" s="32">
        <v>1800</v>
      </c>
      <c r="E33" s="31">
        <v>1.96</v>
      </c>
      <c r="F33" s="90">
        <v>1</v>
      </c>
      <c r="G33" s="73">
        <f t="shared" si="4"/>
        <v>0</v>
      </c>
      <c r="H33" s="59">
        <v>1.96</v>
      </c>
      <c r="I33" s="92">
        <f t="shared" si="1"/>
        <v>1.96</v>
      </c>
      <c r="J33" s="32">
        <f t="shared" si="2"/>
        <v>3528</v>
      </c>
      <c r="K33" s="105">
        <f t="shared" si="3"/>
        <v>0</v>
      </c>
      <c r="L33" s="112"/>
      <c r="M33" s="14"/>
      <c r="N33" s="99"/>
    </row>
    <row r="34" spans="1:14" ht="25.05" customHeight="1" x14ac:dyDescent="0.3">
      <c r="A34" s="114" t="s">
        <v>7</v>
      </c>
      <c r="B34" s="30" t="s">
        <v>88</v>
      </c>
      <c r="C34" s="31" t="s">
        <v>54</v>
      </c>
      <c r="D34" s="32">
        <v>2200</v>
      </c>
      <c r="E34" s="31">
        <v>13.78838</v>
      </c>
      <c r="F34" s="90">
        <v>1</v>
      </c>
      <c r="G34" s="73">
        <f t="shared" si="4"/>
        <v>0</v>
      </c>
      <c r="H34" s="59">
        <v>13.78838</v>
      </c>
      <c r="I34" s="92">
        <f t="shared" si="1"/>
        <v>13.78838</v>
      </c>
      <c r="J34" s="32">
        <f t="shared" si="2"/>
        <v>30334.436000000002</v>
      </c>
      <c r="K34" s="105">
        <f t="shared" si="3"/>
        <v>0</v>
      </c>
      <c r="L34" s="112"/>
      <c r="M34" s="14"/>
      <c r="N34" s="99"/>
    </row>
    <row r="35" spans="1:14" ht="25.05" customHeight="1" x14ac:dyDescent="0.3">
      <c r="A35" s="114" t="s">
        <v>68</v>
      </c>
      <c r="B35" s="30" t="s">
        <v>81</v>
      </c>
      <c r="C35" s="31" t="s">
        <v>65</v>
      </c>
      <c r="D35" s="32">
        <v>88</v>
      </c>
      <c r="E35" s="31">
        <v>280</v>
      </c>
      <c r="F35" s="90">
        <v>1</v>
      </c>
      <c r="G35" s="73">
        <f t="shared" si="4"/>
        <v>96.01124999999999</v>
      </c>
      <c r="H35" s="59">
        <v>183.98875000000001</v>
      </c>
      <c r="I35" s="92">
        <f t="shared" si="1"/>
        <v>280</v>
      </c>
      <c r="J35" s="32">
        <f t="shared" si="2"/>
        <v>16191.01</v>
      </c>
      <c r="K35" s="105">
        <f t="shared" si="3"/>
        <v>8448.99</v>
      </c>
      <c r="L35" s="112"/>
      <c r="M35" s="14"/>
      <c r="N35" s="99"/>
    </row>
    <row r="36" spans="1:14" ht="25.05" customHeight="1" x14ac:dyDescent="0.3">
      <c r="A36" s="114" t="s">
        <v>69</v>
      </c>
      <c r="B36" s="30" t="s">
        <v>89</v>
      </c>
      <c r="C36" s="31" t="s">
        <v>65</v>
      </c>
      <c r="D36" s="32">
        <v>162</v>
      </c>
      <c r="E36" s="31">
        <v>143.4</v>
      </c>
      <c r="F36" s="90">
        <v>1</v>
      </c>
      <c r="G36" s="73">
        <f>E36*F36-H36</f>
        <v>0</v>
      </c>
      <c r="H36" s="60">
        <v>143.4</v>
      </c>
      <c r="I36" s="92">
        <f>G36+H36</f>
        <v>143.4</v>
      </c>
      <c r="J36" s="32">
        <f>H36*D36</f>
        <v>23230.799999999999</v>
      </c>
      <c r="K36" s="105">
        <f>G36*D36</f>
        <v>0</v>
      </c>
      <c r="L36" s="112"/>
      <c r="M36" s="14"/>
      <c r="N36" s="101">
        <f>E36*0.17</f>
        <v>24.378000000000004</v>
      </c>
    </row>
    <row r="37" spans="1:14" ht="25.05" customHeight="1" x14ac:dyDescent="0.3">
      <c r="A37" s="114" t="s">
        <v>70</v>
      </c>
      <c r="B37" s="30" t="s">
        <v>93</v>
      </c>
      <c r="C37" s="31" t="s">
        <v>54</v>
      </c>
      <c r="D37" s="32">
        <v>2200</v>
      </c>
      <c r="E37" s="31">
        <f>2135/1000</f>
        <v>2.1349999999999998</v>
      </c>
      <c r="F37" s="90">
        <v>1</v>
      </c>
      <c r="G37" s="73">
        <f t="shared" ref="G37:G49" si="5">E37*F37-H37</f>
        <v>0</v>
      </c>
      <c r="H37" s="60">
        <v>2.1349999999999998</v>
      </c>
      <c r="I37" s="92">
        <f t="shared" ref="I37:I49" si="6">G37+H37</f>
        <v>2.1349999999999998</v>
      </c>
      <c r="J37" s="32">
        <f t="shared" ref="J37:J49" si="7">H37*D37</f>
        <v>4696.9999999999991</v>
      </c>
      <c r="K37" s="105">
        <f t="shared" ref="K37:K49" si="8">G37*D37</f>
        <v>0</v>
      </c>
      <c r="L37" s="112"/>
      <c r="M37" s="14"/>
      <c r="N37" s="101"/>
    </row>
    <row r="38" spans="1:14" ht="25.05" customHeight="1" x14ac:dyDescent="0.3">
      <c r="A38" s="114" t="s">
        <v>84</v>
      </c>
      <c r="B38" s="30" t="s">
        <v>91</v>
      </c>
      <c r="C38" s="31" t="s">
        <v>65</v>
      </c>
      <c r="D38" s="32">
        <v>162</v>
      </c>
      <c r="E38" s="31">
        <v>1201.1600000000001</v>
      </c>
      <c r="F38" s="90">
        <v>1</v>
      </c>
      <c r="G38" s="73">
        <f t="shared" si="5"/>
        <v>812.56000000000006</v>
      </c>
      <c r="H38" s="60">
        <v>388.6</v>
      </c>
      <c r="I38" s="92">
        <f t="shared" si="6"/>
        <v>1201.1600000000001</v>
      </c>
      <c r="J38" s="32">
        <f t="shared" si="7"/>
        <v>62953.200000000004</v>
      </c>
      <c r="K38" s="105">
        <f t="shared" si="8"/>
        <v>131634.72</v>
      </c>
      <c r="L38" s="112"/>
      <c r="M38" s="14"/>
      <c r="N38" s="101">
        <f>G38*0.2</f>
        <v>162.51200000000003</v>
      </c>
    </row>
    <row r="39" spans="1:14" ht="25.05" customHeight="1" x14ac:dyDescent="0.3">
      <c r="A39" s="114" t="s">
        <v>85</v>
      </c>
      <c r="B39" s="30" t="s">
        <v>92</v>
      </c>
      <c r="C39" s="31" t="s">
        <v>54</v>
      </c>
      <c r="D39" s="32">
        <v>2200</v>
      </c>
      <c r="E39" s="31">
        <v>25.25733</v>
      </c>
      <c r="F39" s="90">
        <v>1</v>
      </c>
      <c r="G39" s="73">
        <f t="shared" si="5"/>
        <v>18.968890099999999</v>
      </c>
      <c r="H39" s="60">
        <v>6.2884399000000002</v>
      </c>
      <c r="I39" s="92">
        <f t="shared" si="6"/>
        <v>25.25733</v>
      </c>
      <c r="J39" s="32">
        <f t="shared" si="7"/>
        <v>13834.567780000001</v>
      </c>
      <c r="K39" s="105">
        <f t="shared" si="8"/>
        <v>41731.558219999999</v>
      </c>
      <c r="L39" s="112"/>
      <c r="M39" s="14"/>
      <c r="N39" s="101"/>
    </row>
    <row r="40" spans="1:14" ht="25.05" customHeight="1" x14ac:dyDescent="0.3">
      <c r="A40" s="114" t="s">
        <v>86</v>
      </c>
      <c r="B40" s="30" t="s">
        <v>94</v>
      </c>
      <c r="C40" s="31" t="s">
        <v>24</v>
      </c>
      <c r="D40" s="32">
        <v>1900</v>
      </c>
      <c r="E40" s="31">
        <v>190.16</v>
      </c>
      <c r="F40" s="90">
        <v>1</v>
      </c>
      <c r="G40" s="73">
        <f t="shared" si="5"/>
        <v>72.260800000000003</v>
      </c>
      <c r="H40" s="60">
        <v>117.89919999999999</v>
      </c>
      <c r="I40" s="92">
        <f t="shared" si="6"/>
        <v>190.16</v>
      </c>
      <c r="J40" s="32">
        <f t="shared" si="7"/>
        <v>224008.47999999998</v>
      </c>
      <c r="K40" s="105">
        <f t="shared" si="8"/>
        <v>137295.52000000002</v>
      </c>
      <c r="L40" s="112"/>
      <c r="M40" s="14"/>
      <c r="N40" s="101">
        <f>I40</f>
        <v>190.16</v>
      </c>
    </row>
    <row r="41" spans="1:14" ht="25.05" customHeight="1" x14ac:dyDescent="0.3">
      <c r="A41" s="114" t="s">
        <v>97</v>
      </c>
      <c r="B41" s="30" t="s">
        <v>95</v>
      </c>
      <c r="C41" s="31" t="s">
        <v>54</v>
      </c>
      <c r="D41" s="32">
        <v>2200</v>
      </c>
      <c r="E41" s="93">
        <v>18.808808414000005</v>
      </c>
      <c r="F41" s="90">
        <v>1</v>
      </c>
      <c r="G41" s="73">
        <f t="shared" si="5"/>
        <v>0</v>
      </c>
      <c r="H41" s="60">
        <v>18.808808414000005</v>
      </c>
      <c r="I41" s="92">
        <f t="shared" si="6"/>
        <v>18.808808414000005</v>
      </c>
      <c r="J41" s="32">
        <f t="shared" si="7"/>
        <v>41379.378510800008</v>
      </c>
      <c r="K41" s="105">
        <f t="shared" si="8"/>
        <v>0</v>
      </c>
      <c r="L41" s="112"/>
      <c r="M41" s="14"/>
      <c r="N41" s="101"/>
    </row>
    <row r="42" spans="1:14" ht="25.05" customHeight="1" x14ac:dyDescent="0.3">
      <c r="A42" s="114" t="s">
        <v>98</v>
      </c>
      <c r="B42" s="30" t="s">
        <v>100</v>
      </c>
      <c r="C42" s="31" t="s">
        <v>67</v>
      </c>
      <c r="D42" s="32">
        <v>60</v>
      </c>
      <c r="E42" s="93">
        <v>97.68</v>
      </c>
      <c r="F42" s="90">
        <v>1</v>
      </c>
      <c r="G42" s="73">
        <f t="shared" si="5"/>
        <v>16.080000000000013</v>
      </c>
      <c r="H42" s="60">
        <v>81.599999999999994</v>
      </c>
      <c r="I42" s="92">
        <f t="shared" si="6"/>
        <v>97.68</v>
      </c>
      <c r="J42" s="32">
        <f t="shared" si="7"/>
        <v>4896</v>
      </c>
      <c r="K42" s="105">
        <f t="shared" si="8"/>
        <v>964.80000000000075</v>
      </c>
      <c r="L42" s="112"/>
      <c r="M42" s="14"/>
      <c r="N42" s="101"/>
    </row>
    <row r="43" spans="1:14" ht="25.05" customHeight="1" x14ac:dyDescent="0.3">
      <c r="A43" s="114" t="s">
        <v>99</v>
      </c>
      <c r="B43" s="30" t="s">
        <v>106</v>
      </c>
      <c r="C43" s="31" t="s">
        <v>65</v>
      </c>
      <c r="D43" s="32">
        <v>162</v>
      </c>
      <c r="E43" s="93">
        <v>23.32</v>
      </c>
      <c r="F43" s="90">
        <v>1</v>
      </c>
      <c r="G43" s="73">
        <f t="shared" si="5"/>
        <v>23.32</v>
      </c>
      <c r="H43" s="60">
        <v>0</v>
      </c>
      <c r="I43" s="92">
        <f t="shared" si="6"/>
        <v>23.32</v>
      </c>
      <c r="J43" s="32">
        <f t="shared" si="7"/>
        <v>0</v>
      </c>
      <c r="K43" s="105">
        <f t="shared" si="8"/>
        <v>3777.84</v>
      </c>
      <c r="L43" s="112"/>
      <c r="M43" s="14"/>
      <c r="N43" s="118"/>
    </row>
    <row r="44" spans="1:14" ht="25.05" customHeight="1" x14ac:dyDescent="0.3">
      <c r="A44" s="114" t="s">
        <v>104</v>
      </c>
      <c r="B44" s="30" t="s">
        <v>107</v>
      </c>
      <c r="C44" s="31" t="s">
        <v>54</v>
      </c>
      <c r="D44" s="32">
        <v>2200</v>
      </c>
      <c r="E44" s="93">
        <f>445.41/1000</f>
        <v>0.44541000000000003</v>
      </c>
      <c r="F44" s="90">
        <v>1</v>
      </c>
      <c r="G44" s="73">
        <f t="shared" si="5"/>
        <v>0.44541000000000003</v>
      </c>
      <c r="H44" s="60">
        <v>0</v>
      </c>
      <c r="I44" s="92">
        <f t="shared" si="6"/>
        <v>0.44541000000000003</v>
      </c>
      <c r="J44" s="32">
        <f t="shared" si="7"/>
        <v>0</v>
      </c>
      <c r="K44" s="105">
        <f t="shared" si="8"/>
        <v>979.90200000000004</v>
      </c>
      <c r="L44" s="112"/>
      <c r="M44" s="14"/>
      <c r="N44" s="118"/>
    </row>
    <row r="45" spans="1:14" ht="25.05" customHeight="1" x14ac:dyDescent="0.3">
      <c r="A45" s="114" t="s">
        <v>105</v>
      </c>
      <c r="B45" s="30" t="s">
        <v>112</v>
      </c>
      <c r="C45" s="31" t="s">
        <v>113</v>
      </c>
      <c r="D45" s="32">
        <v>180</v>
      </c>
      <c r="E45" s="93">
        <v>60</v>
      </c>
      <c r="F45" s="90">
        <v>1</v>
      </c>
      <c r="G45" s="73">
        <f t="shared" si="5"/>
        <v>60</v>
      </c>
      <c r="H45" s="60">
        <v>0</v>
      </c>
      <c r="I45" s="92">
        <f t="shared" si="6"/>
        <v>60</v>
      </c>
      <c r="J45" s="32">
        <f t="shared" si="7"/>
        <v>0</v>
      </c>
      <c r="K45" s="105">
        <f t="shared" si="8"/>
        <v>10800</v>
      </c>
      <c r="L45" s="112"/>
      <c r="M45" s="14"/>
      <c r="N45" s="118"/>
    </row>
    <row r="46" spans="1:14" ht="25.05" customHeight="1" x14ac:dyDescent="0.3">
      <c r="A46" s="114" t="s">
        <v>110</v>
      </c>
      <c r="B46" s="30" t="s">
        <v>114</v>
      </c>
      <c r="C46" s="31" t="s">
        <v>54</v>
      </c>
      <c r="D46" s="32">
        <v>2200</v>
      </c>
      <c r="E46" s="93">
        <f>575.42/1000</f>
        <v>0.57541999999999993</v>
      </c>
      <c r="F46" s="90">
        <v>1</v>
      </c>
      <c r="G46" s="73">
        <f t="shared" si="5"/>
        <v>0.57541999999999993</v>
      </c>
      <c r="H46" s="60">
        <v>0</v>
      </c>
      <c r="I46" s="92">
        <f t="shared" si="6"/>
        <v>0.57541999999999993</v>
      </c>
      <c r="J46" s="32">
        <f t="shared" si="7"/>
        <v>0</v>
      </c>
      <c r="K46" s="105">
        <f t="shared" si="8"/>
        <v>1265.9239999999998</v>
      </c>
      <c r="L46" s="112"/>
      <c r="M46" s="14"/>
      <c r="N46" s="118"/>
    </row>
    <row r="47" spans="1:14" ht="25.05" customHeight="1" x14ac:dyDescent="0.3">
      <c r="A47" s="114" t="s">
        <v>111</v>
      </c>
      <c r="B47" s="30" t="s">
        <v>115</v>
      </c>
      <c r="C47" s="31" t="s">
        <v>24</v>
      </c>
      <c r="D47" s="32">
        <v>1800</v>
      </c>
      <c r="E47" s="93">
        <v>1.1499999999999999</v>
      </c>
      <c r="F47" s="90">
        <v>1</v>
      </c>
      <c r="G47" s="73">
        <f t="shared" si="5"/>
        <v>1.1499999999999999</v>
      </c>
      <c r="H47" s="60">
        <v>0</v>
      </c>
      <c r="I47" s="92">
        <f t="shared" si="6"/>
        <v>1.1499999999999999</v>
      </c>
      <c r="J47" s="32">
        <f t="shared" si="7"/>
        <v>0</v>
      </c>
      <c r="K47" s="105">
        <f t="shared" si="8"/>
        <v>2070</v>
      </c>
      <c r="L47" s="112"/>
      <c r="M47" s="14"/>
      <c r="N47" s="118"/>
    </row>
    <row r="48" spans="1:14" ht="25.05" customHeight="1" x14ac:dyDescent="0.3">
      <c r="A48" s="114" t="s">
        <v>117</v>
      </c>
      <c r="B48" s="30" t="s">
        <v>116</v>
      </c>
      <c r="C48" s="31" t="s">
        <v>54</v>
      </c>
      <c r="D48" s="32">
        <v>2200</v>
      </c>
      <c r="E48" s="93">
        <f>39.69/1000</f>
        <v>3.9689999999999996E-2</v>
      </c>
      <c r="F48" s="90">
        <v>1</v>
      </c>
      <c r="G48" s="73">
        <f t="shared" si="5"/>
        <v>3.9689999999999996E-2</v>
      </c>
      <c r="H48" s="60">
        <v>0</v>
      </c>
      <c r="I48" s="92">
        <f t="shared" si="6"/>
        <v>3.9689999999999996E-2</v>
      </c>
      <c r="J48" s="32">
        <f t="shared" si="7"/>
        <v>0</v>
      </c>
      <c r="K48" s="105">
        <f t="shared" si="8"/>
        <v>87.317999999999998</v>
      </c>
      <c r="L48" s="112"/>
      <c r="M48" s="14"/>
      <c r="N48" s="118"/>
    </row>
    <row r="49" spans="1:15" ht="25.05" customHeight="1" thickBot="1" x14ac:dyDescent="0.35">
      <c r="A49" s="114" t="s">
        <v>118</v>
      </c>
      <c r="B49" s="30" t="s">
        <v>96</v>
      </c>
      <c r="C49" s="31" t="s">
        <v>82</v>
      </c>
      <c r="D49" s="32">
        <v>40000</v>
      </c>
      <c r="E49" s="93">
        <v>1</v>
      </c>
      <c r="F49" s="90">
        <v>0.25</v>
      </c>
      <c r="G49" s="73">
        <f t="shared" si="5"/>
        <v>0</v>
      </c>
      <c r="H49" s="60">
        <v>0.25</v>
      </c>
      <c r="I49" s="92">
        <f t="shared" si="6"/>
        <v>0.25</v>
      </c>
      <c r="J49" s="32">
        <f t="shared" si="7"/>
        <v>10000</v>
      </c>
      <c r="K49" s="105">
        <f t="shared" si="8"/>
        <v>0</v>
      </c>
      <c r="L49" s="112"/>
      <c r="M49" s="14"/>
      <c r="N49" s="102">
        <f>SUM(N36:N42)</f>
        <v>377.05000000000007</v>
      </c>
    </row>
    <row r="50" spans="1:15" ht="25.05" customHeight="1" thickBot="1" x14ac:dyDescent="0.35">
      <c r="A50" s="126" t="s">
        <v>103</v>
      </c>
      <c r="B50" s="127"/>
      <c r="C50" s="127"/>
      <c r="D50" s="127"/>
      <c r="E50" s="127"/>
      <c r="F50" s="127"/>
      <c r="G50" s="127"/>
      <c r="H50" s="127"/>
      <c r="I50" s="127"/>
      <c r="J50" s="94"/>
      <c r="K50" s="103"/>
      <c r="L50" s="112"/>
      <c r="M50" s="14"/>
      <c r="N50" s="117"/>
    </row>
    <row r="51" spans="1:15" ht="25.05" customHeight="1" x14ac:dyDescent="0.3">
      <c r="A51" s="113" t="s">
        <v>3</v>
      </c>
      <c r="B51" s="78" t="s">
        <v>108</v>
      </c>
      <c r="C51" s="79" t="s">
        <v>65</v>
      </c>
      <c r="D51" s="80">
        <v>162</v>
      </c>
      <c r="E51" s="31">
        <v>716.97</v>
      </c>
      <c r="F51" s="90">
        <v>0.95499999999999996</v>
      </c>
      <c r="G51" s="73">
        <f>E51*F51-H51</f>
        <v>684.70635000000004</v>
      </c>
      <c r="H51" s="82">
        <v>0</v>
      </c>
      <c r="I51" s="91">
        <f t="shared" ref="I51:I53" si="9">G51+H51</f>
        <v>684.70635000000004</v>
      </c>
      <c r="J51" s="80">
        <f t="shared" ref="J51:J53" si="10">H51*D51</f>
        <v>0</v>
      </c>
      <c r="K51" s="104">
        <f t="shared" ref="K51:K53" si="11">G51*D51</f>
        <v>110922.4287</v>
      </c>
      <c r="L51" s="112"/>
      <c r="M51" s="14"/>
      <c r="N51" s="117"/>
    </row>
    <row r="52" spans="1:15" ht="25.05" customHeight="1" x14ac:dyDescent="0.3">
      <c r="A52" s="114" t="s">
        <v>4</v>
      </c>
      <c r="B52" s="30" t="s">
        <v>109</v>
      </c>
      <c r="C52" s="31" t="s">
        <v>54</v>
      </c>
      <c r="D52" s="32">
        <v>2200</v>
      </c>
      <c r="E52" s="31">
        <f>11824.12/1000</f>
        <v>11.824120000000001</v>
      </c>
      <c r="F52" s="90">
        <v>0.95499999999999996</v>
      </c>
      <c r="G52" s="73">
        <f t="shared" ref="G52:G53" si="12">E52*F52-H52</f>
        <v>11.292034600000001</v>
      </c>
      <c r="H52" s="59">
        <v>0</v>
      </c>
      <c r="I52" s="92">
        <f t="shared" si="9"/>
        <v>11.292034600000001</v>
      </c>
      <c r="J52" s="32">
        <f t="shared" si="10"/>
        <v>0</v>
      </c>
      <c r="K52" s="105">
        <f t="shared" si="11"/>
        <v>24842.476120000003</v>
      </c>
      <c r="L52" s="112"/>
      <c r="M52" s="14"/>
      <c r="N52" s="117"/>
    </row>
    <row r="53" spans="1:15" ht="25.05" customHeight="1" x14ac:dyDescent="0.3">
      <c r="A53" s="114" t="s">
        <v>5</v>
      </c>
      <c r="B53" s="30" t="s">
        <v>119</v>
      </c>
      <c r="C53" s="31" t="s">
        <v>65</v>
      </c>
      <c r="D53" s="32">
        <v>25</v>
      </c>
      <c r="E53" s="31">
        <v>32</v>
      </c>
      <c r="F53" s="90">
        <v>1</v>
      </c>
      <c r="G53" s="73">
        <f t="shared" si="12"/>
        <v>32</v>
      </c>
      <c r="H53" s="59">
        <v>0</v>
      </c>
      <c r="I53" s="92">
        <f t="shared" si="9"/>
        <v>32</v>
      </c>
      <c r="J53" s="32">
        <f t="shared" si="10"/>
        <v>0</v>
      </c>
      <c r="K53" s="105">
        <f t="shared" si="11"/>
        <v>800</v>
      </c>
      <c r="L53" s="112"/>
      <c r="M53" s="14"/>
      <c r="N53" s="117"/>
    </row>
    <row r="54" spans="1:15" ht="25.05" customHeight="1" x14ac:dyDescent="0.3">
      <c r="A54" s="114"/>
      <c r="B54" s="30"/>
      <c r="C54" s="31"/>
      <c r="D54" s="32"/>
      <c r="E54" s="93"/>
      <c r="F54" s="90"/>
      <c r="G54" s="73"/>
      <c r="H54" s="60"/>
      <c r="I54" s="92"/>
      <c r="J54" s="32"/>
      <c r="K54" s="105"/>
      <c r="L54" s="112"/>
      <c r="M54" s="14"/>
      <c r="N54" s="117"/>
    </row>
    <row r="55" spans="1:15" ht="16.8" customHeight="1" thickBot="1" x14ac:dyDescent="0.35">
      <c r="A55" s="114"/>
      <c r="B55" s="30"/>
      <c r="C55" s="31"/>
      <c r="D55" s="32"/>
      <c r="E55" s="32"/>
      <c r="F55" s="32"/>
      <c r="G55" s="73">
        <f t="shared" si="4"/>
        <v>0</v>
      </c>
      <c r="H55" s="60">
        <v>0</v>
      </c>
      <c r="I55" s="92">
        <f t="shared" si="1"/>
        <v>0</v>
      </c>
      <c r="J55" s="32">
        <f t="shared" si="2"/>
        <v>0</v>
      </c>
      <c r="K55" s="48">
        <f t="shared" si="3"/>
        <v>0</v>
      </c>
      <c r="L55" s="110"/>
      <c r="M55" s="14"/>
    </row>
    <row r="56" spans="1:15" ht="30" customHeight="1" thickBot="1" x14ac:dyDescent="0.4">
      <c r="A56" s="35" t="s">
        <v>33</v>
      </c>
      <c r="B56" s="36"/>
      <c r="C56" s="37"/>
      <c r="D56" s="38"/>
      <c r="E56" s="38"/>
      <c r="F56" s="38"/>
      <c r="G56" s="67"/>
      <c r="H56" s="39"/>
      <c r="I56" s="36"/>
      <c r="J56" s="39">
        <f>SUM(J18:J55)</f>
        <v>934449.14499080006</v>
      </c>
      <c r="K56" s="43">
        <f>SUM(K18:K55)</f>
        <v>475621.47704000003</v>
      </c>
      <c r="L56" s="40"/>
    </row>
    <row r="57" spans="1:15" x14ac:dyDescent="0.3">
      <c r="A57" s="16" t="s">
        <v>18</v>
      </c>
      <c r="L57" s="15"/>
    </row>
    <row r="58" spans="1:15" ht="15.6" x14ac:dyDescent="0.3">
      <c r="A58" s="16"/>
      <c r="B58" s="115" t="s">
        <v>102</v>
      </c>
      <c r="L58" s="15"/>
      <c r="M58" s="89"/>
    </row>
    <row r="59" spans="1:15" x14ac:dyDescent="0.3">
      <c r="A59" s="16"/>
      <c r="L59" s="15"/>
    </row>
    <row r="60" spans="1:15" ht="15" thickBot="1" x14ac:dyDescent="0.35">
      <c r="A60" s="11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3"/>
      <c r="M60" s="89"/>
      <c r="N60" s="89"/>
      <c r="O60" s="89"/>
    </row>
    <row r="61" spans="1:15" x14ac:dyDescent="0.3">
      <c r="A61" s="22"/>
      <c r="L61" s="15"/>
      <c r="M61" s="89"/>
    </row>
    <row r="62" spans="1:15" x14ac:dyDescent="0.3">
      <c r="A62" s="22"/>
      <c r="B62" s="26" t="s">
        <v>55</v>
      </c>
      <c r="C62" s="26"/>
      <c r="D62" s="26"/>
      <c r="E62" s="26"/>
      <c r="F62" s="26"/>
      <c r="G62" s="26" t="s">
        <v>11</v>
      </c>
      <c r="H62" s="26"/>
      <c r="K62" s="26" t="s">
        <v>12</v>
      </c>
      <c r="L62" s="15"/>
    </row>
    <row r="63" spans="1:15" x14ac:dyDescent="0.3">
      <c r="A63" s="22"/>
      <c r="B63" s="1"/>
      <c r="C63" s="1"/>
      <c r="D63" s="1"/>
      <c r="E63" s="1"/>
      <c r="F63" s="1"/>
      <c r="L63" s="15"/>
    </row>
    <row r="64" spans="1:15" x14ac:dyDescent="0.3">
      <c r="A64" s="22"/>
      <c r="B64" s="1"/>
      <c r="C64" s="1"/>
      <c r="D64" s="1"/>
      <c r="E64" s="1"/>
      <c r="F64" s="1"/>
      <c r="G64" s="1" t="s">
        <v>48</v>
      </c>
      <c r="H64" s="1"/>
      <c r="K64" s="1" t="s">
        <v>15</v>
      </c>
      <c r="L64" s="15"/>
      <c r="M64" s="89"/>
      <c r="N64" s="89"/>
      <c r="O64" s="89"/>
    </row>
    <row r="65" spans="1:14" x14ac:dyDescent="0.3">
      <c r="A65" s="22"/>
      <c r="L65" s="15"/>
      <c r="N65" s="89"/>
    </row>
    <row r="66" spans="1:14" x14ac:dyDescent="0.3">
      <c r="A66" s="22"/>
      <c r="L66" s="15"/>
    </row>
    <row r="67" spans="1:14" ht="15" thickBot="1" x14ac:dyDescent="0.35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3"/>
    </row>
  </sheetData>
  <mergeCells count="13">
    <mergeCell ref="I10:L10"/>
    <mergeCell ref="M10:P10"/>
    <mergeCell ref="I12:J12"/>
    <mergeCell ref="A17:L17"/>
    <mergeCell ref="A29:I29"/>
    <mergeCell ref="A50:I50"/>
    <mergeCell ref="B1:H1"/>
    <mergeCell ref="I1:L2"/>
    <mergeCell ref="A2:H2"/>
    <mergeCell ref="I8:L8"/>
    <mergeCell ref="M8:P8"/>
    <mergeCell ref="I9:L9"/>
    <mergeCell ref="M9:P9"/>
  </mergeCells>
  <pageMargins left="0.25" right="0.25" top="0.75" bottom="0.75" header="0.3" footer="0.3"/>
  <pageSetup paperSize="9" scale="5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E6DAA-D390-4F90-BC2E-88B790EB2EE1}">
  <sheetPr>
    <pageSetUpPr fitToPage="1"/>
  </sheetPr>
  <dimension ref="A1:R56"/>
  <sheetViews>
    <sheetView topLeftCell="B10" zoomScale="70" zoomScaleNormal="70" workbookViewId="0">
      <selection activeCell="J45" sqref="J44:K45"/>
    </sheetView>
  </sheetViews>
  <sheetFormatPr defaultRowHeight="14.4" x14ac:dyDescent="0.3"/>
  <cols>
    <col min="1" max="1" width="13" customWidth="1"/>
    <col min="2" max="2" width="65.88671875" customWidth="1"/>
    <col min="3" max="3" width="11.109375" customWidth="1"/>
    <col min="4" max="6" width="16.109375" customWidth="1"/>
    <col min="7" max="7" width="16.33203125" customWidth="1"/>
    <col min="8" max="8" width="11.6640625" customWidth="1"/>
    <col min="9" max="9" width="15" customWidth="1"/>
    <col min="10" max="10" width="16.5546875" bestFit="1" customWidth="1"/>
    <col min="11" max="11" width="21.6640625" bestFit="1" customWidth="1"/>
    <col min="12" max="12" width="36.44140625" customWidth="1"/>
    <col min="13" max="13" width="19.33203125" bestFit="1" customWidth="1"/>
    <col min="14" max="14" width="15.77734375" customWidth="1"/>
    <col min="15" max="15" width="12.77734375" bestFit="1" customWidth="1"/>
    <col min="17" max="17" width="9.88671875" customWidth="1"/>
    <col min="18" max="18" width="13.6640625" customWidth="1"/>
    <col min="19" max="19" width="14.44140625" customWidth="1"/>
  </cols>
  <sheetData>
    <row r="1" spans="1:18" ht="94.2" customHeight="1" thickBot="1" x14ac:dyDescent="0.35">
      <c r="A1" s="2" t="s">
        <v>19</v>
      </c>
      <c r="B1" s="128" t="s">
        <v>36</v>
      </c>
      <c r="C1" s="128"/>
      <c r="D1" s="128"/>
      <c r="E1" s="128"/>
      <c r="F1" s="128"/>
      <c r="G1" s="128"/>
      <c r="H1" s="129"/>
      <c r="I1" s="130"/>
      <c r="J1" s="130"/>
      <c r="K1" s="130"/>
      <c r="L1" s="131"/>
    </row>
    <row r="2" spans="1:18" ht="46.8" customHeight="1" x14ac:dyDescent="0.3">
      <c r="A2" s="134" t="s">
        <v>38</v>
      </c>
      <c r="B2" s="135"/>
      <c r="C2" s="135"/>
      <c r="D2" s="135"/>
      <c r="E2" s="135"/>
      <c r="F2" s="135"/>
      <c r="G2" s="135"/>
      <c r="H2" s="136"/>
      <c r="I2" s="132"/>
      <c r="J2" s="132"/>
      <c r="K2" s="132"/>
      <c r="L2" s="133"/>
    </row>
    <row r="3" spans="1:18" ht="15" customHeight="1" x14ac:dyDescent="0.3">
      <c r="A3" s="9" t="s">
        <v>14</v>
      </c>
      <c r="B3" s="20" t="s">
        <v>20</v>
      </c>
      <c r="C3" s="20"/>
      <c r="D3" s="20"/>
      <c r="E3" s="20"/>
      <c r="F3" s="20"/>
      <c r="G3" s="20"/>
      <c r="H3" s="10"/>
      <c r="I3" s="21"/>
      <c r="J3" s="21"/>
      <c r="K3" s="21"/>
      <c r="L3" s="8"/>
    </row>
    <row r="4" spans="1:18" ht="15" thickBot="1" x14ac:dyDescent="0.35">
      <c r="A4" s="22" t="s">
        <v>13</v>
      </c>
      <c r="B4" s="51" t="s">
        <v>39</v>
      </c>
      <c r="H4" s="15"/>
      <c r="I4" s="64" t="s">
        <v>71</v>
      </c>
      <c r="J4" s="65">
        <v>5</v>
      </c>
      <c r="K4" s="64" t="s">
        <v>9</v>
      </c>
      <c r="L4" s="66">
        <v>46071</v>
      </c>
    </row>
    <row r="5" spans="1:18" ht="15" thickBot="1" x14ac:dyDescent="0.35">
      <c r="A5" s="52"/>
      <c r="B5" s="53" t="s">
        <v>58</v>
      </c>
      <c r="C5" s="54">
        <v>46024</v>
      </c>
      <c r="D5" s="55" t="s">
        <v>57</v>
      </c>
      <c r="E5" s="55"/>
      <c r="F5" s="55"/>
      <c r="G5" s="54">
        <v>46071</v>
      </c>
      <c r="H5" s="56"/>
      <c r="L5" s="15"/>
    </row>
    <row r="6" spans="1:18" x14ac:dyDescent="0.3">
      <c r="A6" s="22" t="s">
        <v>1</v>
      </c>
      <c r="L6" s="15"/>
    </row>
    <row r="7" spans="1:18" x14ac:dyDescent="0.3">
      <c r="A7" s="22"/>
      <c r="L7" s="15"/>
    </row>
    <row r="8" spans="1:18" x14ac:dyDescent="0.3">
      <c r="A8" s="23" t="s">
        <v>0</v>
      </c>
      <c r="B8" s="24" t="s">
        <v>36</v>
      </c>
      <c r="C8" s="24"/>
      <c r="D8" s="24"/>
      <c r="E8" s="24"/>
      <c r="F8" s="24"/>
      <c r="H8" s="24" t="s">
        <v>10</v>
      </c>
      <c r="I8" s="137" t="s">
        <v>43</v>
      </c>
      <c r="J8" s="137"/>
      <c r="K8" s="137"/>
      <c r="L8" s="138"/>
      <c r="M8" s="137"/>
      <c r="N8" s="137"/>
      <c r="O8" s="137"/>
      <c r="P8" s="137"/>
    </row>
    <row r="9" spans="1:18" x14ac:dyDescent="0.3">
      <c r="A9" s="23"/>
      <c r="B9" t="s">
        <v>41</v>
      </c>
      <c r="C9" s="24"/>
      <c r="D9" s="24"/>
      <c r="E9" s="24"/>
      <c r="F9" s="24"/>
      <c r="H9" s="24"/>
      <c r="I9" s="119" t="s">
        <v>44</v>
      </c>
      <c r="J9" s="119"/>
      <c r="K9" s="119"/>
      <c r="L9" s="120"/>
      <c r="M9" s="119"/>
      <c r="N9" s="119"/>
      <c r="O9" s="119"/>
      <c r="P9" s="119"/>
    </row>
    <row r="10" spans="1:18" x14ac:dyDescent="0.3">
      <c r="A10" s="23"/>
      <c r="B10" t="s">
        <v>42</v>
      </c>
      <c r="C10" s="24"/>
      <c r="D10" s="24"/>
      <c r="E10" s="24"/>
      <c r="F10" s="24"/>
      <c r="H10" s="24"/>
      <c r="I10" s="119" t="s">
        <v>45</v>
      </c>
      <c r="J10" s="119"/>
      <c r="K10" s="119"/>
      <c r="L10" s="120"/>
      <c r="M10" s="119"/>
      <c r="N10" s="119"/>
      <c r="O10" s="119"/>
      <c r="P10" s="119"/>
    </row>
    <row r="11" spans="1:18" x14ac:dyDescent="0.3">
      <c r="A11" s="22"/>
      <c r="L11" s="15"/>
    </row>
    <row r="12" spans="1:18" x14ac:dyDescent="0.3">
      <c r="A12" s="25" t="s">
        <v>49</v>
      </c>
      <c r="B12" s="6" t="s">
        <v>46</v>
      </c>
      <c r="C12" s="1"/>
      <c r="D12" s="1"/>
      <c r="E12" s="1"/>
      <c r="F12" s="1"/>
      <c r="G12" s="1"/>
      <c r="H12" s="19" t="s">
        <v>47</v>
      </c>
      <c r="I12" s="121" t="s">
        <v>48</v>
      </c>
      <c r="J12" s="122"/>
      <c r="K12" s="19" t="s">
        <v>50</v>
      </c>
      <c r="L12" s="106" t="s">
        <v>15</v>
      </c>
    </row>
    <row r="13" spans="1:18" x14ac:dyDescent="0.3">
      <c r="A13" s="22"/>
      <c r="L13" s="15"/>
    </row>
    <row r="14" spans="1:18" x14ac:dyDescent="0.3">
      <c r="A14" s="23" t="s">
        <v>16</v>
      </c>
      <c r="D14" s="27"/>
      <c r="E14" s="17"/>
      <c r="F14" s="17"/>
      <c r="L14" s="15"/>
    </row>
    <row r="15" spans="1:18" ht="15" thickBot="1" x14ac:dyDescent="0.35">
      <c r="A15" s="22"/>
      <c r="L15" s="15"/>
    </row>
    <row r="16" spans="1:18" ht="72.599999999999994" thickBot="1" x14ac:dyDescent="0.35">
      <c r="A16" s="107" t="s">
        <v>2</v>
      </c>
      <c r="B16" s="28" t="s">
        <v>17</v>
      </c>
      <c r="C16" s="27" t="s">
        <v>22</v>
      </c>
      <c r="D16" s="27" t="s">
        <v>23</v>
      </c>
      <c r="E16" s="27" t="s">
        <v>87</v>
      </c>
      <c r="F16" s="27" t="s">
        <v>26</v>
      </c>
      <c r="G16" s="27" t="s">
        <v>60</v>
      </c>
      <c r="H16" s="44" t="s">
        <v>61</v>
      </c>
      <c r="I16" s="27" t="s">
        <v>62</v>
      </c>
      <c r="J16" s="44" t="s">
        <v>30</v>
      </c>
      <c r="K16" s="47" t="s">
        <v>27</v>
      </c>
      <c r="L16" s="108" t="s">
        <v>32</v>
      </c>
      <c r="M16" s="17"/>
      <c r="N16" s="97" t="s">
        <v>101</v>
      </c>
      <c r="O16" s="1"/>
      <c r="P16" s="1"/>
      <c r="Q16" s="1"/>
      <c r="R16" s="1"/>
    </row>
    <row r="17" spans="1:18" ht="15" hidden="1" thickBot="1" x14ac:dyDescent="0.35">
      <c r="A17" s="123" t="s">
        <v>59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5"/>
      <c r="M17" s="17"/>
      <c r="N17" s="98"/>
      <c r="O17" s="1"/>
      <c r="P17" s="1"/>
      <c r="Q17" s="1"/>
      <c r="R17" s="1"/>
    </row>
    <row r="18" spans="1:18" ht="25.05" hidden="1" customHeight="1" x14ac:dyDescent="0.35">
      <c r="A18" s="109" t="s">
        <v>3</v>
      </c>
      <c r="B18" s="30" t="s">
        <v>21</v>
      </c>
      <c r="C18" s="31" t="s">
        <v>24</v>
      </c>
      <c r="D18" s="32">
        <v>120</v>
      </c>
      <c r="E18" s="31">
        <v>80.039999999999992</v>
      </c>
      <c r="F18" s="90">
        <v>1</v>
      </c>
      <c r="G18" s="73">
        <f>E18*F18-H18</f>
        <v>0</v>
      </c>
      <c r="H18" s="59">
        <v>80.039999999999992</v>
      </c>
      <c r="I18" s="57">
        <f>H18+G18</f>
        <v>80.039999999999992</v>
      </c>
      <c r="J18" s="32">
        <f>H18*D18</f>
        <v>9604.7999999999993</v>
      </c>
      <c r="K18" s="48">
        <f>G18*D18</f>
        <v>0</v>
      </c>
      <c r="L18" s="110"/>
      <c r="M18" s="14"/>
      <c r="N18" s="99"/>
    </row>
    <row r="19" spans="1:18" ht="25.05" hidden="1" customHeight="1" x14ac:dyDescent="0.35">
      <c r="A19" s="109" t="s">
        <v>4</v>
      </c>
      <c r="B19" s="30" t="s">
        <v>34</v>
      </c>
      <c r="C19" s="31" t="s">
        <v>24</v>
      </c>
      <c r="D19" s="32">
        <v>540</v>
      </c>
      <c r="E19" s="31">
        <v>76.54549999999999</v>
      </c>
      <c r="F19" s="90">
        <v>1</v>
      </c>
      <c r="G19" s="73">
        <f t="shared" ref="G19:G28" si="0">E19*F19-H19</f>
        <v>0</v>
      </c>
      <c r="H19" s="60">
        <v>76.54549999999999</v>
      </c>
      <c r="I19" s="57">
        <f t="shared" ref="I19:I44" si="1">G19+H19</f>
        <v>76.54549999999999</v>
      </c>
      <c r="J19" s="32">
        <f t="shared" ref="J19:J44" si="2">H19*D19</f>
        <v>41334.569999999992</v>
      </c>
      <c r="K19" s="48">
        <f t="shared" ref="K19:K44" si="3">G19*D19</f>
        <v>0</v>
      </c>
      <c r="L19" s="110"/>
      <c r="M19" s="14"/>
      <c r="N19" s="99"/>
    </row>
    <row r="20" spans="1:18" ht="25.05" hidden="1" customHeight="1" x14ac:dyDescent="0.35">
      <c r="A20" s="109" t="s">
        <v>5</v>
      </c>
      <c r="B20" s="30" t="s">
        <v>53</v>
      </c>
      <c r="C20" s="31" t="s">
        <v>24</v>
      </c>
      <c r="D20" s="32">
        <v>435</v>
      </c>
      <c r="E20" s="31">
        <v>97</v>
      </c>
      <c r="F20" s="90">
        <v>1</v>
      </c>
      <c r="G20" s="73">
        <f t="shared" si="0"/>
        <v>0</v>
      </c>
      <c r="H20" s="59">
        <v>97</v>
      </c>
      <c r="I20" s="57">
        <f t="shared" si="1"/>
        <v>97</v>
      </c>
      <c r="J20" s="32">
        <f t="shared" si="2"/>
        <v>42195</v>
      </c>
      <c r="K20" s="48">
        <f t="shared" si="3"/>
        <v>0</v>
      </c>
      <c r="L20" s="110"/>
      <c r="M20" s="14"/>
      <c r="N20" s="99"/>
    </row>
    <row r="21" spans="1:18" ht="25.05" hidden="1" customHeight="1" x14ac:dyDescent="0.35">
      <c r="A21" s="109" t="s">
        <v>6</v>
      </c>
      <c r="B21" s="30" t="s">
        <v>51</v>
      </c>
      <c r="C21" s="31" t="s">
        <v>24</v>
      </c>
      <c r="D21" s="32">
        <v>270</v>
      </c>
      <c r="E21" s="31">
        <v>124.24000000000001</v>
      </c>
      <c r="F21" s="90">
        <v>1</v>
      </c>
      <c r="G21" s="73">
        <f t="shared" si="0"/>
        <v>0</v>
      </c>
      <c r="H21" s="59">
        <v>124.24000000000001</v>
      </c>
      <c r="I21" s="57">
        <f t="shared" si="1"/>
        <v>124.24000000000001</v>
      </c>
      <c r="J21" s="32">
        <f t="shared" si="2"/>
        <v>33544.800000000003</v>
      </c>
      <c r="K21" s="48">
        <f t="shared" si="3"/>
        <v>0</v>
      </c>
      <c r="L21" s="110"/>
      <c r="M21" s="14"/>
      <c r="N21" s="99"/>
    </row>
    <row r="22" spans="1:18" ht="25.05" hidden="1" customHeight="1" x14ac:dyDescent="0.35">
      <c r="A22" s="109" t="s">
        <v>7</v>
      </c>
      <c r="B22" s="30" t="s">
        <v>63</v>
      </c>
      <c r="C22" s="31" t="s">
        <v>24</v>
      </c>
      <c r="D22" s="32">
        <v>1900</v>
      </c>
      <c r="E22" s="31">
        <v>12.8855</v>
      </c>
      <c r="F22" s="90">
        <v>1</v>
      </c>
      <c r="G22" s="73">
        <f t="shared" si="0"/>
        <v>0</v>
      </c>
      <c r="H22" s="59">
        <v>12.8855</v>
      </c>
      <c r="I22" s="57">
        <f t="shared" si="1"/>
        <v>12.8855</v>
      </c>
      <c r="J22" s="32">
        <f t="shared" si="2"/>
        <v>24482.45</v>
      </c>
      <c r="K22" s="48">
        <f t="shared" si="3"/>
        <v>0</v>
      </c>
      <c r="L22" s="110"/>
      <c r="M22" s="14"/>
      <c r="N22" s="99"/>
    </row>
    <row r="23" spans="1:18" ht="25.05" hidden="1" customHeight="1" x14ac:dyDescent="0.35">
      <c r="A23" s="109" t="s">
        <v>68</v>
      </c>
      <c r="B23" s="30" t="s">
        <v>66</v>
      </c>
      <c r="C23" s="31" t="s">
        <v>67</v>
      </c>
      <c r="D23" s="58">
        <v>325</v>
      </c>
      <c r="E23" s="31">
        <v>10.5</v>
      </c>
      <c r="F23" s="90">
        <v>1</v>
      </c>
      <c r="G23" s="73">
        <f t="shared" si="0"/>
        <v>0</v>
      </c>
      <c r="H23" s="59">
        <v>10.5</v>
      </c>
      <c r="I23" s="57">
        <f t="shared" si="1"/>
        <v>10.5</v>
      </c>
      <c r="J23" s="32">
        <f t="shared" si="2"/>
        <v>3412.5</v>
      </c>
      <c r="K23" s="48">
        <f t="shared" si="3"/>
        <v>0</v>
      </c>
      <c r="L23" s="110"/>
      <c r="M23" s="14"/>
      <c r="N23" s="99"/>
    </row>
    <row r="24" spans="1:18" ht="25.05" hidden="1" customHeight="1" x14ac:dyDescent="0.35">
      <c r="A24" s="109" t="s">
        <v>69</v>
      </c>
      <c r="B24" s="30" t="s">
        <v>64</v>
      </c>
      <c r="C24" s="31" t="s">
        <v>65</v>
      </c>
      <c r="D24" s="58">
        <v>162</v>
      </c>
      <c r="E24" s="31">
        <v>378.42</v>
      </c>
      <c r="F24" s="90">
        <v>1</v>
      </c>
      <c r="G24" s="73">
        <f t="shared" si="0"/>
        <v>0</v>
      </c>
      <c r="H24" s="59">
        <v>378.42</v>
      </c>
      <c r="I24" s="57">
        <f t="shared" si="1"/>
        <v>378.42</v>
      </c>
      <c r="J24" s="32">
        <f t="shared" si="2"/>
        <v>61304.04</v>
      </c>
      <c r="K24" s="48">
        <f t="shared" si="3"/>
        <v>0</v>
      </c>
      <c r="L24" s="110"/>
      <c r="M24" s="14">
        <f>I24*0.18</f>
        <v>68.115600000000001</v>
      </c>
      <c r="N24" s="99"/>
    </row>
    <row r="25" spans="1:18" ht="25.05" hidden="1" customHeight="1" x14ac:dyDescent="0.35">
      <c r="A25" s="109" t="s">
        <v>70</v>
      </c>
      <c r="B25" s="30" t="s">
        <v>52</v>
      </c>
      <c r="C25" s="31" t="s">
        <v>54</v>
      </c>
      <c r="D25" s="32">
        <v>2200</v>
      </c>
      <c r="E25" s="31">
        <v>31.18805</v>
      </c>
      <c r="F25" s="90">
        <v>1</v>
      </c>
      <c r="G25" s="73">
        <f t="shared" si="0"/>
        <v>0</v>
      </c>
      <c r="H25" s="59">
        <v>31.18805</v>
      </c>
      <c r="I25" s="57">
        <f t="shared" si="1"/>
        <v>31.18805</v>
      </c>
      <c r="J25" s="32">
        <f t="shared" si="2"/>
        <v>68613.710000000006</v>
      </c>
      <c r="K25" s="48">
        <f t="shared" si="3"/>
        <v>0</v>
      </c>
      <c r="L25" s="110"/>
      <c r="M25" s="14"/>
      <c r="N25" s="99"/>
    </row>
    <row r="26" spans="1:18" ht="25.05" hidden="1" customHeight="1" x14ac:dyDescent="0.35">
      <c r="A26" s="109" t="s">
        <v>84</v>
      </c>
      <c r="B26" s="30" t="s">
        <v>72</v>
      </c>
      <c r="C26" s="31" t="s">
        <v>65</v>
      </c>
      <c r="D26" s="32">
        <v>32.5</v>
      </c>
      <c r="E26" s="31">
        <v>1359.1435999999999</v>
      </c>
      <c r="F26" s="90">
        <v>1</v>
      </c>
      <c r="G26" s="73">
        <f t="shared" si="0"/>
        <v>0</v>
      </c>
      <c r="H26" s="59">
        <v>1359.1435999999999</v>
      </c>
      <c r="I26" s="57">
        <f t="shared" si="1"/>
        <v>1359.1435999999999</v>
      </c>
      <c r="J26" s="32">
        <f t="shared" si="2"/>
        <v>44172.166999999994</v>
      </c>
      <c r="K26" s="48">
        <f t="shared" si="3"/>
        <v>0</v>
      </c>
      <c r="L26" s="110"/>
      <c r="M26" s="14">
        <v>120</v>
      </c>
      <c r="N26" s="99"/>
    </row>
    <row r="27" spans="1:18" ht="25.05" hidden="1" customHeight="1" x14ac:dyDescent="0.35">
      <c r="A27" s="109" t="s">
        <v>85</v>
      </c>
      <c r="B27" s="30" t="s">
        <v>73</v>
      </c>
      <c r="C27" s="63" t="s">
        <v>24</v>
      </c>
      <c r="D27" s="32">
        <f>120</f>
        <v>120</v>
      </c>
      <c r="E27" s="31">
        <v>135.91435999999999</v>
      </c>
      <c r="F27" s="90">
        <v>1</v>
      </c>
      <c r="G27" s="73">
        <f t="shared" si="0"/>
        <v>0</v>
      </c>
      <c r="H27" s="59">
        <v>135.91435999999999</v>
      </c>
      <c r="I27" s="57">
        <f t="shared" si="1"/>
        <v>135.91435999999999</v>
      </c>
      <c r="J27" s="32">
        <f t="shared" si="2"/>
        <v>16309.723199999999</v>
      </c>
      <c r="K27" s="48">
        <f t="shared" si="3"/>
        <v>0</v>
      </c>
      <c r="L27" s="110"/>
      <c r="M27" s="14">
        <v>40</v>
      </c>
      <c r="N27" s="99"/>
    </row>
    <row r="28" spans="1:18" ht="25.05" hidden="1" customHeight="1" thickBot="1" x14ac:dyDescent="0.35">
      <c r="A28" s="109" t="s">
        <v>86</v>
      </c>
      <c r="B28" s="62" t="s">
        <v>74</v>
      </c>
      <c r="C28" s="63" t="s">
        <v>65</v>
      </c>
      <c r="D28" s="69">
        <f>40-15</f>
        <v>25</v>
      </c>
      <c r="E28" s="31">
        <v>86.222499999999997</v>
      </c>
      <c r="F28" s="90">
        <v>1</v>
      </c>
      <c r="G28" s="73">
        <f t="shared" si="0"/>
        <v>0</v>
      </c>
      <c r="H28" s="70">
        <v>86.222499999999997</v>
      </c>
      <c r="I28" s="71">
        <f t="shared" si="1"/>
        <v>86.222499999999997</v>
      </c>
      <c r="J28" s="69">
        <f t="shared" si="2"/>
        <v>2155.5625</v>
      </c>
      <c r="K28" s="75">
        <f t="shared" si="3"/>
        <v>0</v>
      </c>
      <c r="L28" s="111"/>
      <c r="M28" s="14"/>
      <c r="N28" s="99"/>
    </row>
    <row r="29" spans="1:18" s="96" customFormat="1" ht="25.05" customHeight="1" thickBot="1" x14ac:dyDescent="0.35">
      <c r="A29" s="126" t="s">
        <v>75</v>
      </c>
      <c r="B29" s="127"/>
      <c r="C29" s="127"/>
      <c r="D29" s="127"/>
      <c r="E29" s="127"/>
      <c r="F29" s="127"/>
      <c r="G29" s="127"/>
      <c r="H29" s="127"/>
      <c r="I29" s="127"/>
      <c r="J29" s="94"/>
      <c r="K29" s="103"/>
      <c r="L29" s="112"/>
      <c r="M29" s="95"/>
      <c r="N29" s="100"/>
    </row>
    <row r="30" spans="1:18" ht="25.05" hidden="1" customHeight="1" x14ac:dyDescent="0.3">
      <c r="A30" s="113" t="s">
        <v>3</v>
      </c>
      <c r="B30" s="78" t="s">
        <v>76</v>
      </c>
      <c r="C30" s="79" t="s">
        <v>65</v>
      </c>
      <c r="D30" s="80">
        <v>162</v>
      </c>
      <c r="E30" s="31">
        <v>550.1</v>
      </c>
      <c r="F30" s="90">
        <v>1</v>
      </c>
      <c r="G30" s="73">
        <f>E30*F30-H30</f>
        <v>0</v>
      </c>
      <c r="H30" s="82">
        <v>550.1</v>
      </c>
      <c r="I30" s="91">
        <f t="shared" si="1"/>
        <v>550.1</v>
      </c>
      <c r="J30" s="80">
        <f t="shared" si="2"/>
        <v>89116.2</v>
      </c>
      <c r="K30" s="104">
        <f t="shared" si="3"/>
        <v>0</v>
      </c>
      <c r="L30" s="112"/>
      <c r="M30" s="14">
        <f>I30*0.18</f>
        <v>99.018000000000001</v>
      </c>
      <c r="N30" s="99"/>
    </row>
    <row r="31" spans="1:18" ht="25.05" hidden="1" customHeight="1" x14ac:dyDescent="0.3">
      <c r="A31" s="114" t="s">
        <v>4</v>
      </c>
      <c r="B31" s="30" t="s">
        <v>77</v>
      </c>
      <c r="C31" s="31" t="s">
        <v>24</v>
      </c>
      <c r="D31" s="32">
        <v>1900</v>
      </c>
      <c r="E31" s="31">
        <v>30.159999999999997</v>
      </c>
      <c r="F31" s="90">
        <v>1</v>
      </c>
      <c r="G31" s="73">
        <f t="shared" ref="G31:G44" si="4">E31*F31-H31</f>
        <v>0</v>
      </c>
      <c r="H31" s="59">
        <v>30.159999999999997</v>
      </c>
      <c r="I31" s="92">
        <f t="shared" si="1"/>
        <v>30.159999999999997</v>
      </c>
      <c r="J31" s="32">
        <f t="shared" si="2"/>
        <v>57303.999999999993</v>
      </c>
      <c r="K31" s="105">
        <f t="shared" si="3"/>
        <v>0</v>
      </c>
      <c r="L31" s="112"/>
      <c r="M31" s="14"/>
      <c r="N31" s="99"/>
    </row>
    <row r="32" spans="1:18" ht="25.05" hidden="1" customHeight="1" x14ac:dyDescent="0.3">
      <c r="A32" s="114" t="s">
        <v>5</v>
      </c>
      <c r="B32" s="30" t="s">
        <v>78</v>
      </c>
      <c r="C32" s="31" t="s">
        <v>67</v>
      </c>
      <c r="D32" s="32">
        <v>325</v>
      </c>
      <c r="E32" s="31">
        <v>17.989999999999998</v>
      </c>
      <c r="F32" s="90">
        <v>1</v>
      </c>
      <c r="G32" s="73">
        <f t="shared" si="4"/>
        <v>0</v>
      </c>
      <c r="H32" s="59">
        <v>17.989999999999998</v>
      </c>
      <c r="I32" s="92">
        <f t="shared" si="1"/>
        <v>17.989999999999998</v>
      </c>
      <c r="J32" s="32">
        <f t="shared" si="2"/>
        <v>5846.7499999999991</v>
      </c>
      <c r="K32" s="105">
        <f t="shared" si="3"/>
        <v>0</v>
      </c>
      <c r="L32" s="112"/>
      <c r="M32" s="14"/>
      <c r="N32" s="99"/>
    </row>
    <row r="33" spans="1:14" ht="25.05" hidden="1" customHeight="1" x14ac:dyDescent="0.3">
      <c r="A33" s="114" t="s">
        <v>6</v>
      </c>
      <c r="B33" s="30" t="s">
        <v>80</v>
      </c>
      <c r="C33" s="31" t="s">
        <v>24</v>
      </c>
      <c r="D33" s="32">
        <v>1800</v>
      </c>
      <c r="E33" s="31">
        <v>1.96</v>
      </c>
      <c r="F33" s="90">
        <v>1</v>
      </c>
      <c r="G33" s="73">
        <f t="shared" si="4"/>
        <v>0</v>
      </c>
      <c r="H33" s="59">
        <v>1.96</v>
      </c>
      <c r="I33" s="92">
        <f t="shared" si="1"/>
        <v>1.96</v>
      </c>
      <c r="J33" s="32">
        <f t="shared" si="2"/>
        <v>3528</v>
      </c>
      <c r="K33" s="105">
        <f t="shared" si="3"/>
        <v>0</v>
      </c>
      <c r="L33" s="112"/>
      <c r="M33" s="14"/>
      <c r="N33" s="99"/>
    </row>
    <row r="34" spans="1:14" ht="25.05" hidden="1" customHeight="1" x14ac:dyDescent="0.3">
      <c r="A34" s="114" t="s">
        <v>7</v>
      </c>
      <c r="B34" s="30" t="s">
        <v>88</v>
      </c>
      <c r="C34" s="31" t="s">
        <v>54</v>
      </c>
      <c r="D34" s="32">
        <v>2200</v>
      </c>
      <c r="E34" s="31">
        <v>13.78838</v>
      </c>
      <c r="F34" s="90">
        <v>1</v>
      </c>
      <c r="G34" s="73">
        <f t="shared" si="4"/>
        <v>0</v>
      </c>
      <c r="H34" s="59">
        <v>13.78838</v>
      </c>
      <c r="I34" s="92">
        <f t="shared" si="1"/>
        <v>13.78838</v>
      </c>
      <c r="J34" s="32">
        <f t="shared" si="2"/>
        <v>30334.436000000002</v>
      </c>
      <c r="K34" s="105">
        <f t="shared" si="3"/>
        <v>0</v>
      </c>
      <c r="L34" s="112"/>
      <c r="M34" s="14"/>
      <c r="N34" s="99"/>
    </row>
    <row r="35" spans="1:14" ht="25.05" hidden="1" customHeight="1" x14ac:dyDescent="0.3">
      <c r="A35" s="114" t="s">
        <v>68</v>
      </c>
      <c r="B35" s="30" t="s">
        <v>81</v>
      </c>
      <c r="C35" s="31" t="s">
        <v>65</v>
      </c>
      <c r="D35" s="32">
        <v>88</v>
      </c>
      <c r="E35" s="31">
        <v>183.98875000000001</v>
      </c>
      <c r="F35" s="90">
        <v>1</v>
      </c>
      <c r="G35" s="73">
        <f t="shared" si="4"/>
        <v>0</v>
      </c>
      <c r="H35" s="59">
        <v>183.98875000000001</v>
      </c>
      <c r="I35" s="92">
        <f t="shared" si="1"/>
        <v>183.98875000000001</v>
      </c>
      <c r="J35" s="32">
        <f t="shared" si="2"/>
        <v>16191.01</v>
      </c>
      <c r="K35" s="105">
        <f t="shared" si="3"/>
        <v>0</v>
      </c>
      <c r="L35" s="112"/>
      <c r="M35" s="14"/>
      <c r="N35" s="99"/>
    </row>
    <row r="36" spans="1:14" ht="25.05" customHeight="1" x14ac:dyDescent="0.3">
      <c r="A36" s="114" t="s">
        <v>69</v>
      </c>
      <c r="B36" s="30" t="s">
        <v>89</v>
      </c>
      <c r="C36" s="31" t="s">
        <v>65</v>
      </c>
      <c r="D36" s="32">
        <v>162</v>
      </c>
      <c r="E36" s="31">
        <v>143.4</v>
      </c>
      <c r="F36" s="90">
        <v>1</v>
      </c>
      <c r="G36" s="73">
        <f>E36*F36-H36</f>
        <v>143.4</v>
      </c>
      <c r="H36" s="59">
        <v>0</v>
      </c>
      <c r="I36" s="92">
        <f>G36+H36</f>
        <v>143.4</v>
      </c>
      <c r="J36" s="32">
        <f>H36*D36</f>
        <v>0</v>
      </c>
      <c r="K36" s="105">
        <f>G36*D36</f>
        <v>23230.799999999999</v>
      </c>
      <c r="L36" s="112"/>
      <c r="M36" s="14"/>
      <c r="N36" s="101">
        <f>E36*0.17</f>
        <v>24.378000000000004</v>
      </c>
    </row>
    <row r="37" spans="1:14" ht="25.05" customHeight="1" x14ac:dyDescent="0.3">
      <c r="A37" s="114" t="s">
        <v>70</v>
      </c>
      <c r="B37" s="30" t="s">
        <v>93</v>
      </c>
      <c r="C37" s="31" t="s">
        <v>90</v>
      </c>
      <c r="D37" s="32">
        <v>2200</v>
      </c>
      <c r="E37" s="31">
        <f>2135/1000</f>
        <v>2.1349999999999998</v>
      </c>
      <c r="F37" s="90">
        <v>1</v>
      </c>
      <c r="G37" s="73">
        <f t="shared" ref="G37:G41" si="5">E37*F37-H37</f>
        <v>2.1349999999999998</v>
      </c>
      <c r="H37" s="59">
        <v>0</v>
      </c>
      <c r="I37" s="92">
        <f t="shared" ref="I37:I41" si="6">G37+H37</f>
        <v>2.1349999999999998</v>
      </c>
      <c r="J37" s="32">
        <f t="shared" ref="J37:J41" si="7">H37*D37</f>
        <v>0</v>
      </c>
      <c r="K37" s="105">
        <f t="shared" ref="K37:K41" si="8">G37*D37</f>
        <v>4696.9999999999991</v>
      </c>
      <c r="L37" s="112"/>
      <c r="M37" s="14"/>
      <c r="N37" s="101"/>
    </row>
    <row r="38" spans="1:14" ht="25.05" customHeight="1" x14ac:dyDescent="0.3">
      <c r="A38" s="114" t="s">
        <v>84</v>
      </c>
      <c r="B38" s="30" t="s">
        <v>91</v>
      </c>
      <c r="C38" s="31" t="s">
        <v>65</v>
      </c>
      <c r="D38" s="32">
        <v>162</v>
      </c>
      <c r="E38" s="31">
        <v>1450</v>
      </c>
      <c r="F38" s="90">
        <v>0.26800000000000002</v>
      </c>
      <c r="G38" s="73">
        <f t="shared" si="5"/>
        <v>388.6</v>
      </c>
      <c r="H38" s="59">
        <v>0</v>
      </c>
      <c r="I38" s="92">
        <f t="shared" si="6"/>
        <v>388.6</v>
      </c>
      <c r="J38" s="32">
        <f t="shared" si="7"/>
        <v>0</v>
      </c>
      <c r="K38" s="105">
        <f t="shared" si="8"/>
        <v>62953.200000000004</v>
      </c>
      <c r="L38" s="112"/>
      <c r="M38" s="14"/>
      <c r="N38" s="101">
        <f>G38*0.2</f>
        <v>77.720000000000013</v>
      </c>
    </row>
    <row r="39" spans="1:14" ht="25.05" customHeight="1" x14ac:dyDescent="0.3">
      <c r="A39" s="114" t="s">
        <v>85</v>
      </c>
      <c r="B39" s="30" t="s">
        <v>92</v>
      </c>
      <c r="C39" s="31" t="s">
        <v>90</v>
      </c>
      <c r="D39" s="32">
        <v>2200</v>
      </c>
      <c r="E39" s="31">
        <f>(1532+1611.7+9919.59+10313.81)/1000</f>
        <v>23.377099999999999</v>
      </c>
      <c r="F39" s="90">
        <v>0.26900000000000002</v>
      </c>
      <c r="G39" s="116">
        <f t="shared" si="5"/>
        <v>6.2884399000000002</v>
      </c>
      <c r="H39" s="59">
        <v>0</v>
      </c>
      <c r="I39" s="92">
        <f t="shared" si="6"/>
        <v>6.2884399000000002</v>
      </c>
      <c r="J39" s="32">
        <f t="shared" si="7"/>
        <v>0</v>
      </c>
      <c r="K39" s="105">
        <f t="shared" si="8"/>
        <v>13834.567780000001</v>
      </c>
      <c r="L39" s="112"/>
      <c r="M39" s="14"/>
      <c r="N39" s="101"/>
    </row>
    <row r="40" spans="1:14" ht="25.05" customHeight="1" x14ac:dyDescent="0.3">
      <c r="A40" s="114" t="s">
        <v>86</v>
      </c>
      <c r="B40" s="30" t="s">
        <v>94</v>
      </c>
      <c r="C40" s="31" t="s">
        <v>24</v>
      </c>
      <c r="D40" s="32">
        <v>1900</v>
      </c>
      <c r="E40" s="31">
        <v>190.16</v>
      </c>
      <c r="F40" s="90">
        <v>0.62</v>
      </c>
      <c r="G40" s="73">
        <f t="shared" si="5"/>
        <v>102.10972799999999</v>
      </c>
      <c r="H40" s="60">
        <v>15.789472</v>
      </c>
      <c r="I40" s="92">
        <f t="shared" si="6"/>
        <v>117.89919999999999</v>
      </c>
      <c r="J40" s="32">
        <f t="shared" si="7"/>
        <v>29999.996800000001</v>
      </c>
      <c r="K40" s="105">
        <f t="shared" si="8"/>
        <v>194008.48319999999</v>
      </c>
      <c r="L40" s="112"/>
      <c r="M40" s="14"/>
      <c r="N40" s="101">
        <f>I40</f>
        <v>117.89919999999999</v>
      </c>
    </row>
    <row r="41" spans="1:14" ht="25.05" customHeight="1" x14ac:dyDescent="0.3">
      <c r="A41" s="114" t="s">
        <v>97</v>
      </c>
      <c r="B41" s="30" t="s">
        <v>95</v>
      </c>
      <c r="C41" s="31" t="s">
        <v>90</v>
      </c>
      <c r="D41" s="32">
        <v>2200</v>
      </c>
      <c r="E41" s="93">
        <v>18.808808414000005</v>
      </c>
      <c r="F41" s="90">
        <v>1</v>
      </c>
      <c r="G41" s="73">
        <f t="shared" si="5"/>
        <v>18.808808414000005</v>
      </c>
      <c r="H41" s="59">
        <v>0</v>
      </c>
      <c r="I41" s="92">
        <f t="shared" si="6"/>
        <v>18.808808414000005</v>
      </c>
      <c r="J41" s="32">
        <f t="shared" si="7"/>
        <v>0</v>
      </c>
      <c r="K41" s="105">
        <f t="shared" si="8"/>
        <v>41379.378510800008</v>
      </c>
      <c r="L41" s="112"/>
      <c r="M41" s="14"/>
      <c r="N41" s="101"/>
    </row>
    <row r="42" spans="1:14" ht="25.05" customHeight="1" x14ac:dyDescent="0.3">
      <c r="A42" s="114" t="s">
        <v>98</v>
      </c>
      <c r="B42" s="30" t="s">
        <v>100</v>
      </c>
      <c r="C42" s="31" t="s">
        <v>67</v>
      </c>
      <c r="D42" s="32">
        <v>60</v>
      </c>
      <c r="E42" s="93">
        <v>81.599999999999994</v>
      </c>
      <c r="F42" s="90">
        <v>1</v>
      </c>
      <c r="G42" s="73">
        <f t="shared" ref="G42:G43" si="9">E42*F42-H42</f>
        <v>81.599999999999994</v>
      </c>
      <c r="H42" s="59">
        <v>0</v>
      </c>
      <c r="I42" s="92">
        <f t="shared" ref="I42:I43" si="10">G42+H42</f>
        <v>81.599999999999994</v>
      </c>
      <c r="J42" s="32">
        <f t="shared" ref="J42:J43" si="11">H42*D42</f>
        <v>0</v>
      </c>
      <c r="K42" s="105">
        <f t="shared" ref="K42:K43" si="12">G42*D42</f>
        <v>4896</v>
      </c>
      <c r="L42" s="112"/>
      <c r="M42" s="14"/>
      <c r="N42" s="101"/>
    </row>
    <row r="43" spans="1:14" ht="25.05" customHeight="1" thickBot="1" x14ac:dyDescent="0.35">
      <c r="A43" s="114" t="s">
        <v>99</v>
      </c>
      <c r="B43" s="30" t="s">
        <v>96</v>
      </c>
      <c r="C43" s="31" t="s">
        <v>82</v>
      </c>
      <c r="D43" s="32">
        <v>40000</v>
      </c>
      <c r="E43" s="93">
        <v>1</v>
      </c>
      <c r="F43" s="90">
        <v>0.25</v>
      </c>
      <c r="G43" s="73">
        <f t="shared" si="9"/>
        <v>0.25</v>
      </c>
      <c r="H43" s="59">
        <v>0</v>
      </c>
      <c r="I43" s="92">
        <f t="shared" si="10"/>
        <v>0.25</v>
      </c>
      <c r="J43" s="32">
        <f t="shared" si="11"/>
        <v>0</v>
      </c>
      <c r="K43" s="105">
        <f t="shared" si="12"/>
        <v>10000</v>
      </c>
      <c r="L43" s="112"/>
      <c r="M43" s="14"/>
      <c r="N43" s="102">
        <f>SUM(N36:N42)</f>
        <v>219.99720000000002</v>
      </c>
    </row>
    <row r="44" spans="1:14" ht="16.8" customHeight="1" thickBot="1" x14ac:dyDescent="0.35">
      <c r="A44" s="114"/>
      <c r="B44" s="30"/>
      <c r="C44" s="31"/>
      <c r="D44" s="32"/>
      <c r="E44" s="32"/>
      <c r="F44" s="32"/>
      <c r="G44" s="73">
        <f t="shared" si="4"/>
        <v>0</v>
      </c>
      <c r="H44" s="59">
        <v>0</v>
      </c>
      <c r="I44" s="92">
        <f t="shared" si="1"/>
        <v>0</v>
      </c>
      <c r="J44" s="32">
        <f t="shared" si="2"/>
        <v>0</v>
      </c>
      <c r="K44" s="48">
        <f t="shared" si="3"/>
        <v>0</v>
      </c>
      <c r="L44" s="110"/>
      <c r="M44" s="14"/>
    </row>
    <row r="45" spans="1:14" ht="30" customHeight="1" thickBot="1" x14ac:dyDescent="0.4">
      <c r="A45" s="35" t="s">
        <v>33</v>
      </c>
      <c r="B45" s="36"/>
      <c r="C45" s="37"/>
      <c r="D45" s="38"/>
      <c r="E45" s="38"/>
      <c r="F45" s="38"/>
      <c r="G45" s="67"/>
      <c r="H45" s="39"/>
      <c r="I45" s="36"/>
      <c r="J45" s="39">
        <f>SUM(J18:J44)</f>
        <v>579449.71550000005</v>
      </c>
      <c r="K45" s="43">
        <f>SUM(K18:K44)</f>
        <v>354999.42949080002</v>
      </c>
      <c r="L45" s="40"/>
    </row>
    <row r="46" spans="1:14" x14ac:dyDescent="0.3">
      <c r="A46" s="16" t="s">
        <v>18</v>
      </c>
      <c r="L46" s="15"/>
    </row>
    <row r="47" spans="1:14" ht="15.6" x14ac:dyDescent="0.3">
      <c r="A47" s="16"/>
      <c r="B47" s="115" t="s">
        <v>102</v>
      </c>
      <c r="L47" s="15"/>
      <c r="M47" s="89"/>
    </row>
    <row r="48" spans="1:14" x14ac:dyDescent="0.3">
      <c r="A48" s="16"/>
      <c r="L48" s="15"/>
    </row>
    <row r="49" spans="1:15" ht="15" thickBot="1" x14ac:dyDescent="0.35">
      <c r="A49" s="11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3"/>
      <c r="M49" s="89"/>
      <c r="N49" s="89"/>
      <c r="O49" s="89"/>
    </row>
    <row r="50" spans="1:15" x14ac:dyDescent="0.3">
      <c r="A50" s="22"/>
      <c r="L50" s="15"/>
      <c r="M50" s="89"/>
    </row>
    <row r="51" spans="1:15" x14ac:dyDescent="0.3">
      <c r="A51" s="22"/>
      <c r="B51" s="26" t="s">
        <v>55</v>
      </c>
      <c r="C51" s="26"/>
      <c r="D51" s="26"/>
      <c r="E51" s="26"/>
      <c r="F51" s="26"/>
      <c r="G51" s="26" t="s">
        <v>11</v>
      </c>
      <c r="H51" s="26"/>
      <c r="K51" s="26" t="s">
        <v>12</v>
      </c>
      <c r="L51" s="15"/>
    </row>
    <row r="52" spans="1:15" x14ac:dyDescent="0.3">
      <c r="A52" s="22"/>
      <c r="B52" s="1"/>
      <c r="C52" s="1"/>
      <c r="D52" s="1"/>
      <c r="E52" s="1"/>
      <c r="F52" s="1"/>
      <c r="L52" s="15"/>
    </row>
    <row r="53" spans="1:15" x14ac:dyDescent="0.3">
      <c r="A53" s="22"/>
      <c r="B53" s="1"/>
      <c r="C53" s="1"/>
      <c r="D53" s="1"/>
      <c r="E53" s="1"/>
      <c r="F53" s="1"/>
      <c r="G53" s="1" t="s">
        <v>48</v>
      </c>
      <c r="H53" s="1"/>
      <c r="K53" s="1" t="s">
        <v>15</v>
      </c>
      <c r="L53" s="15"/>
      <c r="M53" s="89"/>
      <c r="N53" s="89"/>
      <c r="O53" s="89"/>
    </row>
    <row r="54" spans="1:15" x14ac:dyDescent="0.3">
      <c r="A54" s="22"/>
      <c r="L54" s="15"/>
      <c r="N54" s="89"/>
    </row>
    <row r="55" spans="1:15" x14ac:dyDescent="0.3">
      <c r="A55" s="22"/>
      <c r="L55" s="15"/>
    </row>
    <row r="56" spans="1:15" ht="15" thickBot="1" x14ac:dyDescent="0.35">
      <c r="A56" s="11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3"/>
    </row>
  </sheetData>
  <mergeCells count="12">
    <mergeCell ref="I10:L10"/>
    <mergeCell ref="M10:P10"/>
    <mergeCell ref="I12:J12"/>
    <mergeCell ref="A17:L17"/>
    <mergeCell ref="A29:I29"/>
    <mergeCell ref="I9:L9"/>
    <mergeCell ref="M9:P9"/>
    <mergeCell ref="B1:H1"/>
    <mergeCell ref="I1:L2"/>
    <mergeCell ref="A2:H2"/>
    <mergeCell ref="I8:L8"/>
    <mergeCell ref="M8:P8"/>
  </mergeCells>
  <phoneticPr fontId="4" type="noConversion"/>
  <pageMargins left="0.25" right="0.25" top="0.75" bottom="0.75" header="0.3" footer="0.3"/>
  <pageSetup paperSize="9" scale="5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50210-628E-4B82-BD99-5C1A3A712456}">
  <sheetPr>
    <pageSetUpPr fitToPage="1"/>
  </sheetPr>
  <dimension ref="A1:P48"/>
  <sheetViews>
    <sheetView topLeftCell="A10" zoomScale="70" zoomScaleNormal="70" workbookViewId="0">
      <selection activeCell="I37" sqref="H37:I38"/>
    </sheetView>
  </sheetViews>
  <sheetFormatPr defaultRowHeight="14.4" x14ac:dyDescent="0.3"/>
  <cols>
    <col min="1" max="1" width="13" customWidth="1"/>
    <col min="2" max="2" width="65.88671875" customWidth="1"/>
    <col min="3" max="3" width="11.109375" customWidth="1"/>
    <col min="4" max="4" width="16.109375" customWidth="1"/>
    <col min="5" max="5" width="16.33203125" customWidth="1"/>
    <col min="6" max="6" width="11.6640625" customWidth="1"/>
    <col min="7" max="7" width="15" customWidth="1"/>
    <col min="8" max="8" width="16.5546875" bestFit="1" customWidth="1"/>
    <col min="9" max="9" width="21.6640625" bestFit="1" customWidth="1"/>
    <col min="10" max="10" width="36.44140625" customWidth="1"/>
    <col min="11" max="11" width="19.33203125" bestFit="1" customWidth="1"/>
    <col min="12" max="12" width="13.88671875" bestFit="1" customWidth="1"/>
    <col min="13" max="13" width="12.77734375" bestFit="1" customWidth="1"/>
    <col min="15" max="15" width="9.88671875" customWidth="1"/>
    <col min="16" max="16" width="13.6640625" customWidth="1"/>
    <col min="17" max="17" width="14.44140625" customWidth="1"/>
  </cols>
  <sheetData>
    <row r="1" spans="1:16" ht="94.2" customHeight="1" thickBot="1" x14ac:dyDescent="0.35">
      <c r="A1" s="2" t="s">
        <v>19</v>
      </c>
      <c r="B1" s="128" t="s">
        <v>36</v>
      </c>
      <c r="C1" s="128"/>
      <c r="D1" s="128"/>
      <c r="E1" s="128"/>
      <c r="F1" s="129"/>
      <c r="G1" s="130"/>
      <c r="H1" s="130"/>
      <c r="I1" s="130"/>
      <c r="J1" s="131"/>
    </row>
    <row r="2" spans="1:16" ht="46.8" customHeight="1" x14ac:dyDescent="0.3">
      <c r="A2" s="134" t="s">
        <v>38</v>
      </c>
      <c r="B2" s="135"/>
      <c r="C2" s="135"/>
      <c r="D2" s="135"/>
      <c r="E2" s="135"/>
      <c r="F2" s="136"/>
      <c r="G2" s="132"/>
      <c r="H2" s="132"/>
      <c r="I2" s="132"/>
      <c r="J2" s="133"/>
    </row>
    <row r="3" spans="1:16" ht="15" customHeight="1" x14ac:dyDescent="0.3">
      <c r="A3" s="9" t="s">
        <v>14</v>
      </c>
      <c r="B3" s="20" t="s">
        <v>20</v>
      </c>
      <c r="C3" s="20"/>
      <c r="D3" s="20"/>
      <c r="E3" s="20"/>
      <c r="F3" s="10"/>
      <c r="G3" s="21"/>
      <c r="H3" s="21"/>
      <c r="I3" s="21"/>
      <c r="J3" s="8"/>
    </row>
    <row r="4" spans="1:16" ht="15" thickBot="1" x14ac:dyDescent="0.35">
      <c r="A4" s="22" t="s">
        <v>13</v>
      </c>
      <c r="B4" s="51" t="s">
        <v>39</v>
      </c>
      <c r="F4" s="15"/>
      <c r="G4" s="64" t="s">
        <v>71</v>
      </c>
      <c r="H4" s="65">
        <v>4</v>
      </c>
      <c r="I4" s="64" t="s">
        <v>9</v>
      </c>
      <c r="J4" s="66">
        <v>46022</v>
      </c>
    </row>
    <row r="5" spans="1:16" ht="15" thickBot="1" x14ac:dyDescent="0.35">
      <c r="A5" s="52"/>
      <c r="B5" s="53" t="s">
        <v>58</v>
      </c>
      <c r="C5" s="54">
        <v>45997</v>
      </c>
      <c r="D5" s="55" t="s">
        <v>57</v>
      </c>
      <c r="E5" s="54">
        <f>J4</f>
        <v>46022</v>
      </c>
      <c r="F5" s="56"/>
      <c r="J5" s="15"/>
    </row>
    <row r="6" spans="1:16" x14ac:dyDescent="0.3">
      <c r="A6" s="22" t="s">
        <v>1</v>
      </c>
      <c r="J6" s="15"/>
    </row>
    <row r="7" spans="1:16" x14ac:dyDescent="0.3">
      <c r="A7" s="22"/>
      <c r="J7" s="15"/>
    </row>
    <row r="8" spans="1:16" x14ac:dyDescent="0.3">
      <c r="A8" s="23" t="s">
        <v>0</v>
      </c>
      <c r="B8" s="24" t="s">
        <v>36</v>
      </c>
      <c r="C8" s="24"/>
      <c r="D8" s="24"/>
      <c r="F8" s="24" t="s">
        <v>10</v>
      </c>
      <c r="G8" s="137" t="s">
        <v>43</v>
      </c>
      <c r="H8" s="137"/>
      <c r="I8" s="137"/>
      <c r="J8" s="137"/>
      <c r="K8" s="137"/>
      <c r="L8" s="137"/>
      <c r="M8" s="137"/>
      <c r="N8" s="137"/>
    </row>
    <row r="9" spans="1:16" x14ac:dyDescent="0.3">
      <c r="A9" s="23"/>
      <c r="B9" t="s">
        <v>41</v>
      </c>
      <c r="C9" s="24"/>
      <c r="D9" s="24"/>
      <c r="F9" s="24"/>
      <c r="G9" s="119" t="s">
        <v>44</v>
      </c>
      <c r="H9" s="119"/>
      <c r="I9" s="119"/>
      <c r="J9" s="119"/>
      <c r="K9" s="119"/>
      <c r="L9" s="119"/>
      <c r="M9" s="119"/>
      <c r="N9" s="119"/>
    </row>
    <row r="10" spans="1:16" x14ac:dyDescent="0.3">
      <c r="A10" s="23"/>
      <c r="B10" t="s">
        <v>42</v>
      </c>
      <c r="C10" s="24"/>
      <c r="D10" s="24"/>
      <c r="F10" s="24"/>
      <c r="G10" s="119" t="s">
        <v>45</v>
      </c>
      <c r="H10" s="119"/>
      <c r="I10" s="119"/>
      <c r="J10" s="119"/>
      <c r="K10" s="119"/>
      <c r="L10" s="119"/>
      <c r="M10" s="119"/>
      <c r="N10" s="119"/>
    </row>
    <row r="11" spans="1:16" x14ac:dyDescent="0.3">
      <c r="A11" s="22"/>
      <c r="J11" s="15"/>
    </row>
    <row r="12" spans="1:16" x14ac:dyDescent="0.3">
      <c r="A12" s="25" t="s">
        <v>49</v>
      </c>
      <c r="B12" s="6" t="s">
        <v>46</v>
      </c>
      <c r="C12" s="1"/>
      <c r="D12" s="1"/>
      <c r="E12" s="1"/>
      <c r="F12" s="19" t="s">
        <v>47</v>
      </c>
      <c r="G12" s="121" t="s">
        <v>48</v>
      </c>
      <c r="H12" s="122"/>
      <c r="I12" s="19" t="s">
        <v>50</v>
      </c>
      <c r="J12" s="6" t="s">
        <v>15</v>
      </c>
    </row>
    <row r="13" spans="1:16" x14ac:dyDescent="0.3">
      <c r="A13" s="22"/>
      <c r="J13" s="15"/>
    </row>
    <row r="14" spans="1:16" x14ac:dyDescent="0.3">
      <c r="A14" s="23" t="s">
        <v>16</v>
      </c>
      <c r="D14" s="27"/>
      <c r="J14" s="15"/>
    </row>
    <row r="15" spans="1:16" ht="15" thickBot="1" x14ac:dyDescent="0.35">
      <c r="A15" s="22"/>
      <c r="J15" s="15"/>
    </row>
    <row r="16" spans="1:16" ht="72" x14ac:dyDescent="0.3">
      <c r="A16" s="27" t="s">
        <v>2</v>
      </c>
      <c r="B16" s="28" t="s">
        <v>17</v>
      </c>
      <c r="C16" s="27" t="s">
        <v>22</v>
      </c>
      <c r="D16" s="27" t="s">
        <v>23</v>
      </c>
      <c r="E16" s="27" t="s">
        <v>60</v>
      </c>
      <c r="F16" s="44" t="s">
        <v>61</v>
      </c>
      <c r="G16" s="27" t="s">
        <v>62</v>
      </c>
      <c r="H16" s="44" t="s">
        <v>30</v>
      </c>
      <c r="I16" s="47" t="s">
        <v>27</v>
      </c>
      <c r="J16" s="27" t="s">
        <v>32</v>
      </c>
      <c r="K16" s="17"/>
      <c r="L16" s="1"/>
      <c r="M16" s="1"/>
      <c r="N16" s="1"/>
      <c r="O16" s="1"/>
      <c r="P16" s="1"/>
    </row>
    <row r="17" spans="1:16" x14ac:dyDescent="0.3">
      <c r="A17" s="139" t="s">
        <v>59</v>
      </c>
      <c r="B17" s="124"/>
      <c r="C17" s="124"/>
      <c r="D17" s="124"/>
      <c r="E17" s="124"/>
      <c r="F17" s="124"/>
      <c r="G17" s="124"/>
      <c r="H17" s="124"/>
      <c r="I17" s="124"/>
      <c r="J17" s="140"/>
      <c r="K17" s="17"/>
      <c r="L17" s="1"/>
      <c r="M17" s="1"/>
      <c r="N17" s="1"/>
      <c r="O17" s="1"/>
      <c r="P17" s="1"/>
    </row>
    <row r="18" spans="1:16" ht="25.05" customHeight="1" x14ac:dyDescent="0.3">
      <c r="A18" s="29" t="s">
        <v>3</v>
      </c>
      <c r="B18" s="30" t="s">
        <v>21</v>
      </c>
      <c r="C18" s="31" t="s">
        <v>24</v>
      </c>
      <c r="D18" s="32">
        <v>120</v>
      </c>
      <c r="E18" s="68">
        <v>0</v>
      </c>
      <c r="F18" s="59">
        <v>80.039999999999992</v>
      </c>
      <c r="G18" s="57">
        <f>E18+F18</f>
        <v>80.039999999999992</v>
      </c>
      <c r="H18" s="32">
        <f>F18*D18</f>
        <v>9604.7999999999993</v>
      </c>
      <c r="I18" s="48">
        <f>E18*D18</f>
        <v>0</v>
      </c>
      <c r="J18" s="34"/>
      <c r="K18" s="14"/>
    </row>
    <row r="19" spans="1:16" ht="25.05" customHeight="1" x14ac:dyDescent="0.3">
      <c r="A19" s="29" t="s">
        <v>4</v>
      </c>
      <c r="B19" s="30" t="s">
        <v>34</v>
      </c>
      <c r="C19" s="31" t="s">
        <v>24</v>
      </c>
      <c r="D19" s="32">
        <v>540</v>
      </c>
      <c r="E19" s="68">
        <v>1.61</v>
      </c>
      <c r="F19" s="60">
        <v>74.93549999999999</v>
      </c>
      <c r="G19" s="57">
        <f t="shared" ref="G19:G34" si="0">E19+F19</f>
        <v>76.54549999999999</v>
      </c>
      <c r="H19" s="32">
        <f t="shared" ref="H19:H34" si="1">F19*D19</f>
        <v>40465.17</v>
      </c>
      <c r="I19" s="48">
        <f t="shared" ref="I19:I34" si="2">E19*D19</f>
        <v>869.40000000000009</v>
      </c>
      <c r="J19" s="34"/>
      <c r="K19" s="14"/>
    </row>
    <row r="20" spans="1:16" ht="25.05" customHeight="1" x14ac:dyDescent="0.3">
      <c r="A20" s="29" t="s">
        <v>5</v>
      </c>
      <c r="B20" s="30" t="s">
        <v>53</v>
      </c>
      <c r="C20" s="31" t="s">
        <v>24</v>
      </c>
      <c r="D20" s="32">
        <v>435</v>
      </c>
      <c r="E20" s="68">
        <v>0</v>
      </c>
      <c r="F20" s="59">
        <v>97</v>
      </c>
      <c r="G20" s="57">
        <f t="shared" si="0"/>
        <v>97</v>
      </c>
      <c r="H20" s="32">
        <f t="shared" si="1"/>
        <v>42195</v>
      </c>
      <c r="I20" s="48">
        <f t="shared" si="2"/>
        <v>0</v>
      </c>
      <c r="J20" s="34"/>
      <c r="K20" s="14"/>
    </row>
    <row r="21" spans="1:16" ht="25.05" customHeight="1" x14ac:dyDescent="0.3">
      <c r="A21" s="29" t="s">
        <v>6</v>
      </c>
      <c r="B21" s="30" t="s">
        <v>51</v>
      </c>
      <c r="C21" s="31" t="s">
        <v>24</v>
      </c>
      <c r="D21" s="32">
        <v>270</v>
      </c>
      <c r="E21" s="68">
        <v>0</v>
      </c>
      <c r="F21" s="59">
        <v>124.24000000000001</v>
      </c>
      <c r="G21" s="57">
        <f t="shared" si="0"/>
        <v>124.24000000000001</v>
      </c>
      <c r="H21" s="32">
        <f t="shared" si="1"/>
        <v>33544.800000000003</v>
      </c>
      <c r="I21" s="48">
        <f t="shared" si="2"/>
        <v>0</v>
      </c>
      <c r="J21" s="34"/>
      <c r="K21" s="14"/>
    </row>
    <row r="22" spans="1:16" ht="25.05" customHeight="1" x14ac:dyDescent="0.3">
      <c r="A22" s="29" t="s">
        <v>7</v>
      </c>
      <c r="B22" s="30" t="s">
        <v>63</v>
      </c>
      <c r="C22" s="31" t="s">
        <v>24</v>
      </c>
      <c r="D22" s="32">
        <v>1900</v>
      </c>
      <c r="E22" s="68">
        <v>0</v>
      </c>
      <c r="F22" s="59">
        <v>12.8855</v>
      </c>
      <c r="G22" s="57">
        <f t="shared" si="0"/>
        <v>12.8855</v>
      </c>
      <c r="H22" s="32">
        <f t="shared" si="1"/>
        <v>24482.45</v>
      </c>
      <c r="I22" s="48">
        <f t="shared" si="2"/>
        <v>0</v>
      </c>
      <c r="J22" s="34"/>
      <c r="K22" s="14"/>
    </row>
    <row r="23" spans="1:16" ht="25.05" customHeight="1" x14ac:dyDescent="0.3">
      <c r="A23" s="29" t="s">
        <v>68</v>
      </c>
      <c r="B23" s="30" t="s">
        <v>66</v>
      </c>
      <c r="C23" s="31" t="s">
        <v>67</v>
      </c>
      <c r="D23" s="58">
        <v>325</v>
      </c>
      <c r="E23" s="68">
        <v>0</v>
      </c>
      <c r="F23" s="59">
        <v>10.5</v>
      </c>
      <c r="G23" s="57">
        <f t="shared" si="0"/>
        <v>10.5</v>
      </c>
      <c r="H23" s="32">
        <f t="shared" si="1"/>
        <v>3412.5</v>
      </c>
      <c r="I23" s="48">
        <f t="shared" si="2"/>
        <v>0</v>
      </c>
      <c r="J23" s="34"/>
      <c r="K23" s="14"/>
    </row>
    <row r="24" spans="1:16" ht="25.05" customHeight="1" x14ac:dyDescent="0.3">
      <c r="A24" s="29" t="s">
        <v>69</v>
      </c>
      <c r="B24" s="30" t="s">
        <v>64</v>
      </c>
      <c r="C24" s="31" t="s">
        <v>65</v>
      </c>
      <c r="D24" s="58">
        <v>162</v>
      </c>
      <c r="E24" s="73">
        <v>7.2</v>
      </c>
      <c r="F24" s="59">
        <v>371.22</v>
      </c>
      <c r="G24" s="57">
        <f t="shared" si="0"/>
        <v>378.42</v>
      </c>
      <c r="H24" s="32">
        <f t="shared" si="1"/>
        <v>60137.640000000007</v>
      </c>
      <c r="I24" s="48">
        <f t="shared" si="2"/>
        <v>1166.4000000000001</v>
      </c>
      <c r="J24" s="34"/>
      <c r="K24" s="14">
        <f>G24*0.18</f>
        <v>68.115600000000001</v>
      </c>
    </row>
    <row r="25" spans="1:16" ht="25.05" customHeight="1" x14ac:dyDescent="0.3">
      <c r="A25" s="29" t="s">
        <v>70</v>
      </c>
      <c r="B25" s="30" t="s">
        <v>52</v>
      </c>
      <c r="C25" s="31" t="s">
        <v>54</v>
      </c>
      <c r="D25" s="32">
        <v>2200</v>
      </c>
      <c r="E25" s="73">
        <v>0.21579999999999999</v>
      </c>
      <c r="F25" s="59">
        <v>30.972249999999999</v>
      </c>
      <c r="G25" s="57">
        <f t="shared" si="0"/>
        <v>31.18805</v>
      </c>
      <c r="H25" s="32">
        <f t="shared" si="1"/>
        <v>68138.95</v>
      </c>
      <c r="I25" s="48">
        <f t="shared" si="2"/>
        <v>474.76</v>
      </c>
      <c r="J25" s="34"/>
      <c r="K25" s="14"/>
    </row>
    <row r="26" spans="1:16" ht="25.05" customHeight="1" x14ac:dyDescent="0.3">
      <c r="A26" s="29" t="s">
        <v>84</v>
      </c>
      <c r="B26" s="30" t="s">
        <v>72</v>
      </c>
      <c r="C26" s="31" t="s">
        <v>65</v>
      </c>
      <c r="D26" s="32">
        <v>32.5</v>
      </c>
      <c r="E26" s="73">
        <v>0</v>
      </c>
      <c r="F26" s="59">
        <v>1359.1435999999999</v>
      </c>
      <c r="G26" s="57">
        <f t="shared" si="0"/>
        <v>1359.1435999999999</v>
      </c>
      <c r="H26" s="32">
        <f t="shared" si="1"/>
        <v>44172.166999999994</v>
      </c>
      <c r="I26" s="48">
        <f t="shared" si="2"/>
        <v>0</v>
      </c>
      <c r="J26" s="34"/>
      <c r="K26" s="14">
        <v>120</v>
      </c>
    </row>
    <row r="27" spans="1:16" ht="25.05" customHeight="1" x14ac:dyDescent="0.3">
      <c r="A27" s="29" t="s">
        <v>85</v>
      </c>
      <c r="B27" s="30" t="s">
        <v>73</v>
      </c>
      <c r="C27" s="63" t="s">
        <v>24</v>
      </c>
      <c r="D27" s="32">
        <f>120</f>
        <v>120</v>
      </c>
      <c r="E27" s="73">
        <v>0</v>
      </c>
      <c r="F27" s="59">
        <v>135.91435999999999</v>
      </c>
      <c r="G27" s="57">
        <f t="shared" si="0"/>
        <v>135.91435999999999</v>
      </c>
      <c r="H27" s="32">
        <f t="shared" si="1"/>
        <v>16309.723199999999</v>
      </c>
      <c r="I27" s="48">
        <f t="shared" si="2"/>
        <v>0</v>
      </c>
      <c r="J27" s="34"/>
      <c r="K27" s="14">
        <v>40</v>
      </c>
    </row>
    <row r="28" spans="1:16" ht="25.05" customHeight="1" thickBot="1" x14ac:dyDescent="0.35">
      <c r="A28" s="29" t="s">
        <v>86</v>
      </c>
      <c r="B28" s="62" t="s">
        <v>74</v>
      </c>
      <c r="C28" s="63" t="s">
        <v>65</v>
      </c>
      <c r="D28" s="69">
        <f>40-15</f>
        <v>25</v>
      </c>
      <c r="E28" s="74">
        <v>0</v>
      </c>
      <c r="F28" s="70">
        <v>86.222499999999997</v>
      </c>
      <c r="G28" s="71">
        <f t="shared" si="0"/>
        <v>86.222499999999997</v>
      </c>
      <c r="H28" s="69">
        <f t="shared" si="1"/>
        <v>2155.5625</v>
      </c>
      <c r="I28" s="75">
        <f t="shared" si="2"/>
        <v>0</v>
      </c>
      <c r="J28" s="76"/>
      <c r="K28" s="14"/>
    </row>
    <row r="29" spans="1:16" ht="25.05" customHeight="1" thickBot="1" x14ac:dyDescent="0.35">
      <c r="A29" s="141" t="s">
        <v>75</v>
      </c>
      <c r="B29" s="142"/>
      <c r="C29" s="142"/>
      <c r="D29" s="142"/>
      <c r="E29" s="142"/>
      <c r="F29" s="142"/>
      <c r="G29" s="142"/>
      <c r="H29" s="86"/>
      <c r="I29" s="87"/>
      <c r="J29" s="88"/>
      <c r="K29" s="14"/>
    </row>
    <row r="30" spans="1:16" ht="25.05" customHeight="1" x14ac:dyDescent="0.3">
      <c r="A30" s="77" t="s">
        <v>3</v>
      </c>
      <c r="B30" s="78" t="s">
        <v>76</v>
      </c>
      <c r="C30" s="79" t="s">
        <v>65</v>
      </c>
      <c r="D30" s="80">
        <v>162</v>
      </c>
      <c r="E30" s="81">
        <v>293.5</v>
      </c>
      <c r="F30" s="82">
        <v>256.60000000000002</v>
      </c>
      <c r="G30" s="83">
        <f t="shared" si="0"/>
        <v>550.1</v>
      </c>
      <c r="H30" s="80">
        <f t="shared" si="1"/>
        <v>41569.200000000004</v>
      </c>
      <c r="I30" s="84">
        <f t="shared" si="2"/>
        <v>47547</v>
      </c>
      <c r="J30" s="85"/>
      <c r="K30" s="14">
        <f>G30*0.18</f>
        <v>99.018000000000001</v>
      </c>
    </row>
    <row r="31" spans="1:16" ht="25.05" customHeight="1" x14ac:dyDescent="0.3">
      <c r="A31" s="72" t="s">
        <v>4</v>
      </c>
      <c r="B31" s="30" t="s">
        <v>77</v>
      </c>
      <c r="C31" s="31" t="s">
        <v>24</v>
      </c>
      <c r="D31" s="32">
        <v>1900</v>
      </c>
      <c r="E31" s="68">
        <v>16.739999999999998</v>
      </c>
      <c r="F31" s="59">
        <v>13.42</v>
      </c>
      <c r="G31" s="57">
        <f t="shared" si="0"/>
        <v>30.159999999999997</v>
      </c>
      <c r="H31" s="32">
        <f t="shared" si="1"/>
        <v>25498</v>
      </c>
      <c r="I31" s="48">
        <f t="shared" si="2"/>
        <v>31805.999999999996</v>
      </c>
      <c r="J31" s="34"/>
      <c r="K31" s="14"/>
    </row>
    <row r="32" spans="1:16" ht="25.05" customHeight="1" x14ac:dyDescent="0.3">
      <c r="A32" s="72" t="s">
        <v>5</v>
      </c>
      <c r="B32" s="30" t="s">
        <v>78</v>
      </c>
      <c r="C32" s="31" t="s">
        <v>67</v>
      </c>
      <c r="D32" s="32">
        <v>325</v>
      </c>
      <c r="E32" s="68">
        <v>0</v>
      </c>
      <c r="F32" s="59">
        <v>17.989999999999998</v>
      </c>
      <c r="G32" s="57">
        <f t="shared" si="0"/>
        <v>17.989999999999998</v>
      </c>
      <c r="H32" s="32">
        <f t="shared" si="1"/>
        <v>5846.7499999999991</v>
      </c>
      <c r="I32" s="48">
        <f t="shared" si="2"/>
        <v>0</v>
      </c>
      <c r="J32" s="34"/>
      <c r="K32" s="14"/>
    </row>
    <row r="33" spans="1:13" ht="25.05" customHeight="1" x14ac:dyDescent="0.3">
      <c r="A33" s="72" t="s">
        <v>6</v>
      </c>
      <c r="B33" s="30" t="s">
        <v>80</v>
      </c>
      <c r="C33" s="31" t="s">
        <v>24</v>
      </c>
      <c r="D33" s="32">
        <v>1800</v>
      </c>
      <c r="E33" s="68">
        <v>1.96</v>
      </c>
      <c r="F33" s="59">
        <v>0</v>
      </c>
      <c r="G33" s="57">
        <f t="shared" si="0"/>
        <v>1.96</v>
      </c>
      <c r="H33" s="32">
        <f t="shared" si="1"/>
        <v>0</v>
      </c>
      <c r="I33" s="48">
        <f t="shared" si="2"/>
        <v>3528</v>
      </c>
      <c r="J33" s="34"/>
      <c r="K33" s="14"/>
    </row>
    <row r="34" spans="1:13" ht="25.05" customHeight="1" x14ac:dyDescent="0.3">
      <c r="A34" s="72" t="s">
        <v>7</v>
      </c>
      <c r="B34" s="30" t="s">
        <v>79</v>
      </c>
      <c r="C34" s="31" t="s">
        <v>54</v>
      </c>
      <c r="D34" s="32">
        <v>2200</v>
      </c>
      <c r="E34" s="73">
        <v>7.7088799999999997</v>
      </c>
      <c r="F34" s="59">
        <v>6.0795000000000003</v>
      </c>
      <c r="G34" s="57">
        <f t="shared" si="0"/>
        <v>13.78838</v>
      </c>
      <c r="H34" s="32">
        <f t="shared" si="1"/>
        <v>13374.900000000001</v>
      </c>
      <c r="I34" s="48">
        <f t="shared" si="2"/>
        <v>16959.536</v>
      </c>
      <c r="J34" s="34"/>
      <c r="K34" s="14"/>
    </row>
    <row r="35" spans="1:13" ht="25.05" customHeight="1" x14ac:dyDescent="0.3">
      <c r="A35" s="72" t="s">
        <v>68</v>
      </c>
      <c r="B35" s="30" t="s">
        <v>81</v>
      </c>
      <c r="C35" s="31" t="s">
        <v>54</v>
      </c>
      <c r="D35" s="32">
        <v>88</v>
      </c>
      <c r="E35" s="73">
        <f>(5.52+5.2+5.29+4.87*4+4.56+8.84+4.51+5.29+5.24+2.975)*2.75</f>
        <v>183.98875000000001</v>
      </c>
      <c r="F35" s="59">
        <v>0</v>
      </c>
      <c r="G35" s="57">
        <f t="shared" ref="G35:G36" si="3">E35+F35</f>
        <v>183.98875000000001</v>
      </c>
      <c r="H35" s="32">
        <f t="shared" ref="H35:H36" si="4">F35*D35</f>
        <v>0</v>
      </c>
      <c r="I35" s="48">
        <f t="shared" ref="I35:I36" si="5">E35*D35</f>
        <v>16191.01</v>
      </c>
      <c r="J35" s="34"/>
      <c r="K35" s="14"/>
    </row>
    <row r="36" spans="1:13" ht="43.2" customHeight="1" thickBot="1" x14ac:dyDescent="0.35">
      <c r="A36" s="72" t="s">
        <v>69</v>
      </c>
      <c r="B36" s="30" t="s">
        <v>83</v>
      </c>
      <c r="C36" s="31" t="s">
        <v>82</v>
      </c>
      <c r="D36" s="32">
        <v>30000</v>
      </c>
      <c r="E36" s="73">
        <v>1</v>
      </c>
      <c r="F36" s="59">
        <v>0</v>
      </c>
      <c r="G36" s="57">
        <f t="shared" si="3"/>
        <v>1</v>
      </c>
      <c r="H36" s="32">
        <f t="shared" si="4"/>
        <v>0</v>
      </c>
      <c r="I36" s="48">
        <f t="shared" si="5"/>
        <v>30000</v>
      </c>
      <c r="J36" s="34"/>
      <c r="K36" s="14"/>
    </row>
    <row r="37" spans="1:13" ht="30" customHeight="1" thickBot="1" x14ac:dyDescent="0.4">
      <c r="A37" s="35" t="s">
        <v>33</v>
      </c>
      <c r="B37" s="36"/>
      <c r="C37" s="37"/>
      <c r="D37" s="38"/>
      <c r="E37" s="67"/>
      <c r="F37" s="39"/>
      <c r="G37" s="36"/>
      <c r="H37" s="39">
        <f>SUM(H18:H36)</f>
        <v>430907.61270000006</v>
      </c>
      <c r="I37" s="43">
        <f>SUM(I18:I36)</f>
        <v>148542.10599999997</v>
      </c>
      <c r="J37" s="40"/>
    </row>
    <row r="38" spans="1:13" x14ac:dyDescent="0.3">
      <c r="A38" s="16" t="s">
        <v>18</v>
      </c>
      <c r="J38" s="15"/>
    </row>
    <row r="39" spans="1:13" x14ac:dyDescent="0.3">
      <c r="A39" s="16"/>
      <c r="J39" s="15"/>
      <c r="K39" s="89">
        <f>'Protokół 30-11-2025'!I34+'Protokół 30-10-2025'!J27+'Protokół 30-09-2025'!K23</f>
        <v>430907.61270000006</v>
      </c>
    </row>
    <row r="40" spans="1:13" x14ac:dyDescent="0.3">
      <c r="A40" s="16"/>
      <c r="J40" s="15"/>
    </row>
    <row r="41" spans="1:13" ht="15" thickBot="1" x14ac:dyDescent="0.35">
      <c r="A41" s="11"/>
      <c r="B41" s="12"/>
      <c r="C41" s="12"/>
      <c r="D41" s="12"/>
      <c r="E41" s="12"/>
      <c r="F41" s="12"/>
      <c r="G41" s="12"/>
      <c r="H41" s="12"/>
      <c r="I41" s="12"/>
      <c r="J41" s="13"/>
      <c r="K41" s="89">
        <f>H37*0.06</f>
        <v>25854.456762000002</v>
      </c>
      <c r="L41" s="89">
        <f>H37*1.08</f>
        <v>465380.22171600012</v>
      </c>
      <c r="M41" s="89">
        <f>L41*0.05</f>
        <v>23269.011085800008</v>
      </c>
    </row>
    <row r="42" spans="1:13" x14ac:dyDescent="0.3">
      <c r="A42" s="22"/>
      <c r="J42" s="15"/>
      <c r="K42" s="89">
        <f>H37*0.05</f>
        <v>21545.380635000005</v>
      </c>
    </row>
    <row r="43" spans="1:13" x14ac:dyDescent="0.3">
      <c r="A43" s="22"/>
      <c r="B43" s="26" t="s">
        <v>55</v>
      </c>
      <c r="C43" s="26"/>
      <c r="D43" s="26"/>
      <c r="E43" s="26" t="s">
        <v>11</v>
      </c>
      <c r="F43" s="26"/>
      <c r="I43" s="26" t="s">
        <v>12</v>
      </c>
      <c r="J43" s="15"/>
    </row>
    <row r="44" spans="1:13" x14ac:dyDescent="0.3">
      <c r="A44" s="22"/>
      <c r="B44" s="1"/>
      <c r="C44" s="1"/>
      <c r="D44" s="1"/>
      <c r="J44" s="15"/>
    </row>
    <row r="45" spans="1:13" x14ac:dyDescent="0.3">
      <c r="A45" s="22"/>
      <c r="B45" s="1"/>
      <c r="C45" s="1"/>
      <c r="D45" s="1"/>
      <c r="E45" s="1" t="s">
        <v>48</v>
      </c>
      <c r="F45" s="1"/>
      <c r="I45" s="1" t="s">
        <v>15</v>
      </c>
      <c r="J45" s="15"/>
      <c r="K45" s="89">
        <f>H37-I37</f>
        <v>282365.50670000009</v>
      </c>
      <c r="L45" s="89">
        <f>K45*1.08</f>
        <v>304954.74723600014</v>
      </c>
      <c r="M45" s="89">
        <f>L45*0.05</f>
        <v>15247.737361800007</v>
      </c>
    </row>
    <row r="46" spans="1:13" x14ac:dyDescent="0.3">
      <c r="A46" s="22"/>
      <c r="J46" s="15"/>
      <c r="L46" s="89">
        <f>H37*1.08</f>
        <v>465380.22171600012</v>
      </c>
    </row>
    <row r="47" spans="1:13" x14ac:dyDescent="0.3">
      <c r="A47" s="22"/>
      <c r="J47" s="15"/>
    </row>
    <row r="48" spans="1:13" ht="15" thickBot="1" x14ac:dyDescent="0.35">
      <c r="A48" s="11"/>
      <c r="B48" s="12"/>
      <c r="C48" s="12"/>
      <c r="D48" s="12"/>
      <c r="E48" s="12"/>
      <c r="F48" s="12"/>
      <c r="G48" s="12"/>
      <c r="H48" s="12"/>
      <c r="I48" s="12"/>
      <c r="J48" s="13"/>
    </row>
  </sheetData>
  <mergeCells count="12">
    <mergeCell ref="G9:J9"/>
    <mergeCell ref="K9:N9"/>
    <mergeCell ref="B1:F1"/>
    <mergeCell ref="G1:J2"/>
    <mergeCell ref="A2:F2"/>
    <mergeCell ref="G8:J8"/>
    <mergeCell ref="K8:N8"/>
    <mergeCell ref="G10:J10"/>
    <mergeCell ref="K10:N10"/>
    <mergeCell ref="G12:H12"/>
    <mergeCell ref="A17:J17"/>
    <mergeCell ref="A29:G29"/>
  </mergeCells>
  <phoneticPr fontId="4" type="noConversion"/>
  <pageMargins left="0.25" right="0.25" top="0.75" bottom="0.75" header="0.3" footer="0.3"/>
  <pageSetup paperSize="9" scale="5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0952D-C8A4-4D68-8E4B-935B9BB0D68E}">
  <sheetPr>
    <pageSetUpPr fitToPage="1"/>
  </sheetPr>
  <dimension ref="A1:P45"/>
  <sheetViews>
    <sheetView topLeftCell="A19" zoomScale="70" zoomScaleNormal="70" workbookViewId="0">
      <selection activeCell="L35" sqref="L35"/>
    </sheetView>
  </sheetViews>
  <sheetFormatPr defaultRowHeight="14.4" x14ac:dyDescent="0.3"/>
  <cols>
    <col min="1" max="1" width="13" customWidth="1"/>
    <col min="2" max="2" width="64.44140625" customWidth="1"/>
    <col min="3" max="3" width="11.109375" customWidth="1"/>
    <col min="4" max="4" width="16.109375" customWidth="1"/>
    <col min="5" max="5" width="16.33203125" customWidth="1"/>
    <col min="6" max="6" width="11.6640625" customWidth="1"/>
    <col min="7" max="7" width="15" customWidth="1"/>
    <col min="8" max="8" width="16.5546875" bestFit="1" customWidth="1"/>
    <col min="9" max="9" width="21.6640625" bestFit="1" customWidth="1"/>
    <col min="10" max="10" width="36.44140625" customWidth="1"/>
    <col min="11" max="11" width="19.33203125" bestFit="1" customWidth="1"/>
    <col min="12" max="12" width="12.77734375" bestFit="1" customWidth="1"/>
    <col min="15" max="15" width="9.88671875" customWidth="1"/>
    <col min="16" max="16" width="13.6640625" customWidth="1"/>
    <col min="17" max="17" width="14.44140625" customWidth="1"/>
  </cols>
  <sheetData>
    <row r="1" spans="1:16" ht="94.2" customHeight="1" thickBot="1" x14ac:dyDescent="0.35">
      <c r="A1" s="2" t="s">
        <v>19</v>
      </c>
      <c r="B1" s="128" t="s">
        <v>36</v>
      </c>
      <c r="C1" s="128"/>
      <c r="D1" s="128"/>
      <c r="E1" s="128"/>
      <c r="F1" s="129"/>
      <c r="G1" s="130"/>
      <c r="H1" s="130"/>
      <c r="I1" s="130"/>
      <c r="J1" s="131"/>
    </row>
    <row r="2" spans="1:16" ht="46.8" customHeight="1" x14ac:dyDescent="0.3">
      <c r="A2" s="134" t="s">
        <v>38</v>
      </c>
      <c r="B2" s="135"/>
      <c r="C2" s="135"/>
      <c r="D2" s="135"/>
      <c r="E2" s="135"/>
      <c r="F2" s="136"/>
      <c r="G2" s="132"/>
      <c r="H2" s="132"/>
      <c r="I2" s="132"/>
      <c r="J2" s="133"/>
    </row>
    <row r="3" spans="1:16" ht="15" customHeight="1" x14ac:dyDescent="0.3">
      <c r="A3" s="9" t="s">
        <v>14</v>
      </c>
      <c r="B3" s="20" t="s">
        <v>20</v>
      </c>
      <c r="C3" s="20"/>
      <c r="D3" s="20"/>
      <c r="E3" s="20"/>
      <c r="F3" s="10"/>
      <c r="G3" s="21"/>
      <c r="H3" s="21"/>
      <c r="I3" s="21"/>
      <c r="J3" s="8"/>
    </row>
    <row r="4" spans="1:16" ht="15" thickBot="1" x14ac:dyDescent="0.35">
      <c r="A4" s="22" t="s">
        <v>13</v>
      </c>
      <c r="B4" s="51" t="s">
        <v>39</v>
      </c>
      <c r="F4" s="15"/>
      <c r="G4" s="64" t="s">
        <v>71</v>
      </c>
      <c r="H4" s="65">
        <v>3</v>
      </c>
      <c r="I4" s="64" t="s">
        <v>9</v>
      </c>
      <c r="J4" s="66">
        <v>45996</v>
      </c>
    </row>
    <row r="5" spans="1:16" ht="15" thickBot="1" x14ac:dyDescent="0.35">
      <c r="A5" s="52"/>
      <c r="B5" s="53" t="s">
        <v>58</v>
      </c>
      <c r="C5" s="54">
        <v>45931</v>
      </c>
      <c r="D5" s="55" t="s">
        <v>57</v>
      </c>
      <c r="E5" s="54">
        <f>J4</f>
        <v>45996</v>
      </c>
      <c r="F5" s="56"/>
      <c r="J5" s="15"/>
    </row>
    <row r="6" spans="1:16" x14ac:dyDescent="0.3">
      <c r="A6" s="22" t="s">
        <v>1</v>
      </c>
      <c r="J6" s="15"/>
    </row>
    <row r="7" spans="1:16" x14ac:dyDescent="0.3">
      <c r="A7" s="22"/>
      <c r="J7" s="15"/>
    </row>
    <row r="8" spans="1:16" x14ac:dyDescent="0.3">
      <c r="A8" s="23" t="s">
        <v>0</v>
      </c>
      <c r="B8" s="24" t="s">
        <v>36</v>
      </c>
      <c r="C8" s="24"/>
      <c r="D8" s="24"/>
      <c r="F8" s="24" t="s">
        <v>10</v>
      </c>
      <c r="G8" s="137" t="s">
        <v>43</v>
      </c>
      <c r="H8" s="137"/>
      <c r="I8" s="137"/>
      <c r="J8" s="137"/>
      <c r="K8" s="137"/>
      <c r="L8" s="137"/>
      <c r="M8" s="137"/>
      <c r="N8" s="137"/>
    </row>
    <row r="9" spans="1:16" x14ac:dyDescent="0.3">
      <c r="A9" s="23"/>
      <c r="B9" t="s">
        <v>41</v>
      </c>
      <c r="C9" s="24"/>
      <c r="D9" s="24"/>
      <c r="F9" s="24"/>
      <c r="G9" s="119" t="s">
        <v>44</v>
      </c>
      <c r="H9" s="119"/>
      <c r="I9" s="119"/>
      <c r="J9" s="119"/>
      <c r="K9" s="119"/>
      <c r="L9" s="119"/>
      <c r="M9" s="119"/>
      <c r="N9" s="119"/>
    </row>
    <row r="10" spans="1:16" x14ac:dyDescent="0.3">
      <c r="A10" s="23"/>
      <c r="B10" t="s">
        <v>42</v>
      </c>
      <c r="C10" s="24"/>
      <c r="D10" s="24"/>
      <c r="F10" s="24"/>
      <c r="G10" s="119" t="s">
        <v>45</v>
      </c>
      <c r="H10" s="119"/>
      <c r="I10" s="119"/>
      <c r="J10" s="119"/>
      <c r="K10" s="119"/>
      <c r="L10" s="119"/>
      <c r="M10" s="119"/>
      <c r="N10" s="119"/>
    </row>
    <row r="11" spans="1:16" x14ac:dyDescent="0.3">
      <c r="A11" s="22"/>
      <c r="J11" s="15"/>
    </row>
    <row r="12" spans="1:16" x14ac:dyDescent="0.3">
      <c r="A12" s="25" t="s">
        <v>49</v>
      </c>
      <c r="B12" s="6" t="s">
        <v>46</v>
      </c>
      <c r="C12" s="1"/>
      <c r="D12" s="1"/>
      <c r="E12" s="1"/>
      <c r="F12" s="19" t="s">
        <v>47</v>
      </c>
      <c r="G12" s="121" t="s">
        <v>48</v>
      </c>
      <c r="H12" s="122"/>
      <c r="I12" s="19" t="s">
        <v>50</v>
      </c>
      <c r="J12" s="6" t="s">
        <v>15</v>
      </c>
    </row>
    <row r="13" spans="1:16" x14ac:dyDescent="0.3">
      <c r="A13" s="22"/>
      <c r="J13" s="15"/>
    </row>
    <row r="14" spans="1:16" x14ac:dyDescent="0.3">
      <c r="A14" s="23" t="s">
        <v>16</v>
      </c>
      <c r="D14" s="27"/>
      <c r="J14" s="15"/>
    </row>
    <row r="15" spans="1:16" ht="15" thickBot="1" x14ac:dyDescent="0.35">
      <c r="A15" s="22"/>
      <c r="J15" s="15"/>
    </row>
    <row r="16" spans="1:16" ht="72" x14ac:dyDescent="0.3">
      <c r="A16" s="27" t="s">
        <v>2</v>
      </c>
      <c r="B16" s="28" t="s">
        <v>17</v>
      </c>
      <c r="C16" s="27" t="s">
        <v>22</v>
      </c>
      <c r="D16" s="27" t="s">
        <v>23</v>
      </c>
      <c r="E16" s="27" t="s">
        <v>60</v>
      </c>
      <c r="F16" s="44" t="s">
        <v>61</v>
      </c>
      <c r="G16" s="27" t="s">
        <v>62</v>
      </c>
      <c r="H16" s="44" t="s">
        <v>30</v>
      </c>
      <c r="I16" s="47" t="s">
        <v>27</v>
      </c>
      <c r="J16" s="27" t="s">
        <v>32</v>
      </c>
      <c r="K16" s="17"/>
      <c r="L16" s="1"/>
      <c r="M16" s="1"/>
      <c r="N16" s="1"/>
      <c r="O16" s="1"/>
      <c r="P16" s="1"/>
    </row>
    <row r="17" spans="1:16" x14ac:dyDescent="0.3">
      <c r="A17" s="139" t="s">
        <v>59</v>
      </c>
      <c r="B17" s="124"/>
      <c r="C17" s="124"/>
      <c r="D17" s="124"/>
      <c r="E17" s="124"/>
      <c r="F17" s="124"/>
      <c r="G17" s="124"/>
      <c r="H17" s="124"/>
      <c r="I17" s="124"/>
      <c r="J17" s="140"/>
      <c r="K17" s="17"/>
      <c r="L17" s="1"/>
      <c r="M17" s="1"/>
      <c r="N17" s="1"/>
      <c r="O17" s="1"/>
      <c r="P17" s="1"/>
    </row>
    <row r="18" spans="1:16" ht="25.05" customHeight="1" x14ac:dyDescent="0.3">
      <c r="A18" s="29" t="s">
        <v>3</v>
      </c>
      <c r="B18" s="30" t="s">
        <v>21</v>
      </c>
      <c r="C18" s="31" t="s">
        <v>24</v>
      </c>
      <c r="D18" s="32">
        <v>120</v>
      </c>
      <c r="E18" s="68">
        <v>26.57</v>
      </c>
      <c r="F18" s="59">
        <v>53.47</v>
      </c>
      <c r="G18" s="57">
        <f>E18+F18</f>
        <v>80.039999999999992</v>
      </c>
      <c r="H18" s="32">
        <f>F18*D18</f>
        <v>6416.4</v>
      </c>
      <c r="I18" s="48">
        <f>E18*D18</f>
        <v>3188.4</v>
      </c>
      <c r="J18" s="34"/>
      <c r="K18" s="14"/>
    </row>
    <row r="19" spans="1:16" ht="25.05" customHeight="1" x14ac:dyDescent="0.3">
      <c r="A19" s="29" t="s">
        <v>4</v>
      </c>
      <c r="B19" s="30" t="s">
        <v>34</v>
      </c>
      <c r="C19" s="31" t="s">
        <v>24</v>
      </c>
      <c r="D19" s="32">
        <v>540</v>
      </c>
      <c r="E19" s="68">
        <v>24.83</v>
      </c>
      <c r="F19" s="60">
        <v>50.105499999999999</v>
      </c>
      <c r="G19" s="57">
        <f t="shared" ref="G19:G25" si="0">E19+F19</f>
        <v>74.93549999999999</v>
      </c>
      <c r="H19" s="32">
        <f t="shared" ref="H19:H25" si="1">F19*D19</f>
        <v>27056.97</v>
      </c>
      <c r="I19" s="48">
        <f t="shared" ref="I19:I25" si="2">E19*D19</f>
        <v>13408.199999999999</v>
      </c>
      <c r="J19" s="34"/>
      <c r="K19" s="14"/>
    </row>
    <row r="20" spans="1:16" ht="25.05" customHeight="1" x14ac:dyDescent="0.3">
      <c r="A20" s="29" t="s">
        <v>5</v>
      </c>
      <c r="B20" s="30" t="s">
        <v>53</v>
      </c>
      <c r="C20" s="31" t="s">
        <v>24</v>
      </c>
      <c r="D20" s="32">
        <v>435</v>
      </c>
      <c r="E20" s="68">
        <v>15.41</v>
      </c>
      <c r="F20" s="59">
        <v>81.59</v>
      </c>
      <c r="G20" s="57">
        <f t="shared" si="0"/>
        <v>97</v>
      </c>
      <c r="H20" s="32">
        <f t="shared" si="1"/>
        <v>35491.65</v>
      </c>
      <c r="I20" s="48">
        <f t="shared" si="2"/>
        <v>6703.35</v>
      </c>
      <c r="J20" s="34"/>
      <c r="K20" s="14"/>
    </row>
    <row r="21" spans="1:16" ht="25.05" customHeight="1" x14ac:dyDescent="0.3">
      <c r="A21" s="29" t="s">
        <v>6</v>
      </c>
      <c r="B21" s="30" t="s">
        <v>51</v>
      </c>
      <c r="C21" s="31" t="s">
        <v>24</v>
      </c>
      <c r="D21" s="32">
        <v>270</v>
      </c>
      <c r="E21" s="68">
        <v>60.74</v>
      </c>
      <c r="F21" s="59">
        <v>63.5</v>
      </c>
      <c r="G21" s="57">
        <f t="shared" si="0"/>
        <v>124.24000000000001</v>
      </c>
      <c r="H21" s="32">
        <f t="shared" si="1"/>
        <v>17145</v>
      </c>
      <c r="I21" s="48">
        <f t="shared" si="2"/>
        <v>16399.8</v>
      </c>
      <c r="J21" s="34"/>
      <c r="K21" s="14"/>
    </row>
    <row r="22" spans="1:16" ht="25.05" customHeight="1" x14ac:dyDescent="0.3">
      <c r="A22" s="29" t="s">
        <v>7</v>
      </c>
      <c r="B22" s="30" t="s">
        <v>63</v>
      </c>
      <c r="C22" s="31" t="s">
        <v>24</v>
      </c>
      <c r="D22" s="32">
        <v>1900</v>
      </c>
      <c r="E22" s="68">
        <v>3.89</v>
      </c>
      <c r="F22" s="59">
        <v>8.9954999999999998</v>
      </c>
      <c r="G22" s="57">
        <f t="shared" si="0"/>
        <v>12.8855</v>
      </c>
      <c r="H22" s="32">
        <f t="shared" si="1"/>
        <v>17091.45</v>
      </c>
      <c r="I22" s="48">
        <f t="shared" si="2"/>
        <v>7391</v>
      </c>
      <c r="J22" s="34"/>
      <c r="K22" s="14"/>
    </row>
    <row r="23" spans="1:16" ht="25.05" customHeight="1" x14ac:dyDescent="0.3">
      <c r="A23" s="29" t="s">
        <v>68</v>
      </c>
      <c r="B23" s="30" t="s">
        <v>66</v>
      </c>
      <c r="C23" s="31" t="s">
        <v>67</v>
      </c>
      <c r="D23" s="58">
        <v>325</v>
      </c>
      <c r="E23" s="68">
        <v>0</v>
      </c>
      <c r="F23" s="59">
        <v>10.5</v>
      </c>
      <c r="G23" s="57">
        <f t="shared" si="0"/>
        <v>10.5</v>
      </c>
      <c r="H23" s="32">
        <f t="shared" si="1"/>
        <v>3412.5</v>
      </c>
      <c r="I23" s="48">
        <f t="shared" si="2"/>
        <v>0</v>
      </c>
      <c r="J23" s="34"/>
      <c r="K23" s="14"/>
    </row>
    <row r="24" spans="1:16" ht="25.05" customHeight="1" x14ac:dyDescent="0.3">
      <c r="A24" s="29" t="s">
        <v>69</v>
      </c>
      <c r="B24" s="30" t="s">
        <v>64</v>
      </c>
      <c r="C24" s="31" t="s">
        <v>65</v>
      </c>
      <c r="D24" s="58">
        <v>162</v>
      </c>
      <c r="E24" s="73">
        <v>143.51</v>
      </c>
      <c r="F24" s="59">
        <v>227.71</v>
      </c>
      <c r="G24" s="57">
        <f t="shared" si="0"/>
        <v>371.22</v>
      </c>
      <c r="H24" s="32">
        <f t="shared" si="1"/>
        <v>36889.020000000004</v>
      </c>
      <c r="I24" s="48">
        <f t="shared" si="2"/>
        <v>23248.62</v>
      </c>
      <c r="J24" s="34"/>
      <c r="K24" s="14">
        <f>G24*0.18</f>
        <v>66.819600000000008</v>
      </c>
    </row>
    <row r="25" spans="1:16" ht="25.05" customHeight="1" x14ac:dyDescent="0.3">
      <c r="A25" s="29" t="s">
        <v>70</v>
      </c>
      <c r="B25" s="30" t="s">
        <v>52</v>
      </c>
      <c r="C25" s="31" t="s">
        <v>54</v>
      </c>
      <c r="D25" s="32">
        <v>2200</v>
      </c>
      <c r="E25" s="73">
        <v>11.36225</v>
      </c>
      <c r="F25" s="59">
        <v>19.61</v>
      </c>
      <c r="G25" s="57">
        <f t="shared" si="0"/>
        <v>30.972249999999999</v>
      </c>
      <c r="H25" s="32">
        <f t="shared" si="1"/>
        <v>43142</v>
      </c>
      <c r="I25" s="48">
        <f t="shared" si="2"/>
        <v>24996.95</v>
      </c>
      <c r="J25" s="34"/>
      <c r="K25" s="14"/>
    </row>
    <row r="26" spans="1:16" ht="25.05" customHeight="1" x14ac:dyDescent="0.3">
      <c r="A26" s="29">
        <v>9</v>
      </c>
      <c r="B26" s="30" t="s">
        <v>72</v>
      </c>
      <c r="C26" s="31" t="s">
        <v>65</v>
      </c>
      <c r="D26" s="32">
        <v>32.5</v>
      </c>
      <c r="E26" s="73">
        <f>1170+118.6+50.5-12+4.14*2.58*3</f>
        <v>1359.1435999999999</v>
      </c>
      <c r="F26" s="59">
        <v>0</v>
      </c>
      <c r="G26" s="57">
        <f t="shared" ref="G26:G33" si="3">E26+F26</f>
        <v>1359.1435999999999</v>
      </c>
      <c r="H26" s="32">
        <f t="shared" ref="H26:H33" si="4">F26*D26</f>
        <v>0</v>
      </c>
      <c r="I26" s="48">
        <f t="shared" ref="I26:I33" si="5">E26*D26</f>
        <v>44172.166999999994</v>
      </c>
      <c r="J26" s="34"/>
      <c r="K26" s="14">
        <v>120</v>
      </c>
    </row>
    <row r="27" spans="1:16" ht="25.05" customHeight="1" x14ac:dyDescent="0.3">
      <c r="A27" s="61"/>
      <c r="B27" s="30" t="s">
        <v>73</v>
      </c>
      <c r="C27" s="63" t="s">
        <v>24</v>
      </c>
      <c r="D27" s="32">
        <f>120</f>
        <v>120</v>
      </c>
      <c r="E27" s="73">
        <f>E26*0.1</f>
        <v>135.91435999999999</v>
      </c>
      <c r="F27" s="59">
        <v>0</v>
      </c>
      <c r="G27" s="57">
        <f t="shared" si="3"/>
        <v>135.91435999999999</v>
      </c>
      <c r="H27" s="32">
        <f t="shared" si="4"/>
        <v>0</v>
      </c>
      <c r="I27" s="48">
        <f t="shared" si="5"/>
        <v>16309.723199999999</v>
      </c>
      <c r="J27" s="34"/>
      <c r="K27" s="14">
        <v>40</v>
      </c>
    </row>
    <row r="28" spans="1:16" ht="25.05" customHeight="1" thickBot="1" x14ac:dyDescent="0.35">
      <c r="A28" s="61"/>
      <c r="B28" s="62" t="s">
        <v>74</v>
      </c>
      <c r="C28" s="63" t="s">
        <v>65</v>
      </c>
      <c r="D28" s="69">
        <f>40-15</f>
        <v>25</v>
      </c>
      <c r="E28" s="74">
        <f>(21.14+14.75+11.03+9.5)*0.5+(6.87+32.87+5.75+0.46+0.46)*1.25</f>
        <v>86.222499999999997</v>
      </c>
      <c r="F28" s="70">
        <v>0</v>
      </c>
      <c r="G28" s="71">
        <f t="shared" si="3"/>
        <v>86.222499999999997</v>
      </c>
      <c r="H28" s="69">
        <f t="shared" si="4"/>
        <v>0</v>
      </c>
      <c r="I28" s="75">
        <f t="shared" si="5"/>
        <v>2155.5625</v>
      </c>
      <c r="J28" s="76"/>
      <c r="K28" s="14"/>
    </row>
    <row r="29" spans="1:16" ht="25.05" customHeight="1" thickBot="1" x14ac:dyDescent="0.35">
      <c r="A29" s="141" t="s">
        <v>75</v>
      </c>
      <c r="B29" s="142"/>
      <c r="C29" s="142"/>
      <c r="D29" s="142"/>
      <c r="E29" s="142"/>
      <c r="F29" s="142"/>
      <c r="G29" s="142"/>
      <c r="H29" s="86"/>
      <c r="I29" s="87"/>
      <c r="J29" s="88"/>
      <c r="K29" s="14"/>
    </row>
    <row r="30" spans="1:16" ht="25.05" customHeight="1" x14ac:dyDescent="0.3">
      <c r="A30" s="77" t="s">
        <v>3</v>
      </c>
      <c r="B30" s="78" t="s">
        <v>76</v>
      </c>
      <c r="C30" s="79" t="s">
        <v>65</v>
      </c>
      <c r="D30" s="80">
        <v>162</v>
      </c>
      <c r="E30" s="81">
        <v>256.60000000000002</v>
      </c>
      <c r="F30" s="82">
        <v>0</v>
      </c>
      <c r="G30" s="83">
        <f t="shared" si="3"/>
        <v>256.60000000000002</v>
      </c>
      <c r="H30" s="80">
        <f t="shared" si="4"/>
        <v>0</v>
      </c>
      <c r="I30" s="84">
        <f t="shared" si="5"/>
        <v>41569.200000000004</v>
      </c>
      <c r="J30" s="85"/>
      <c r="K30" s="14">
        <f>G30*0.18</f>
        <v>46.188000000000002</v>
      </c>
    </row>
    <row r="31" spans="1:16" ht="25.05" customHeight="1" x14ac:dyDescent="0.3">
      <c r="A31" s="72" t="s">
        <v>4</v>
      </c>
      <c r="B31" s="30" t="s">
        <v>77</v>
      </c>
      <c r="C31" s="31" t="s">
        <v>24</v>
      </c>
      <c r="D31" s="32">
        <v>1900</v>
      </c>
      <c r="E31" s="68">
        <v>13.42</v>
      </c>
      <c r="F31" s="59">
        <v>0</v>
      </c>
      <c r="G31" s="57">
        <f t="shared" si="3"/>
        <v>13.42</v>
      </c>
      <c r="H31" s="32">
        <f t="shared" si="4"/>
        <v>0</v>
      </c>
      <c r="I31" s="48">
        <f t="shared" si="5"/>
        <v>25498</v>
      </c>
      <c r="J31" s="34"/>
      <c r="K31" s="14"/>
    </row>
    <row r="32" spans="1:16" ht="25.05" customHeight="1" x14ac:dyDescent="0.3">
      <c r="A32" s="72" t="s">
        <v>5</v>
      </c>
      <c r="B32" s="30" t="s">
        <v>78</v>
      </c>
      <c r="C32" s="31" t="s">
        <v>67</v>
      </c>
      <c r="D32" s="32">
        <v>325</v>
      </c>
      <c r="E32" s="68">
        <f>7*2.57</f>
        <v>17.989999999999998</v>
      </c>
      <c r="F32" s="59">
        <v>0</v>
      </c>
      <c r="G32" s="57">
        <f t="shared" si="3"/>
        <v>17.989999999999998</v>
      </c>
      <c r="H32" s="32">
        <f t="shared" si="4"/>
        <v>0</v>
      </c>
      <c r="I32" s="48">
        <f t="shared" si="5"/>
        <v>5846.7499999999991</v>
      </c>
      <c r="J32" s="34"/>
      <c r="K32" s="14"/>
    </row>
    <row r="33" spans="1:12" ht="25.05" customHeight="1" thickBot="1" x14ac:dyDescent="0.35">
      <c r="A33" s="72" t="s">
        <v>6</v>
      </c>
      <c r="B33" s="30" t="s">
        <v>79</v>
      </c>
      <c r="C33" s="31" t="s">
        <v>54</v>
      </c>
      <c r="D33" s="32">
        <v>2200</v>
      </c>
      <c r="E33" s="73">
        <v>6.0795000000000003</v>
      </c>
      <c r="F33" s="59">
        <v>0</v>
      </c>
      <c r="G33" s="57">
        <f t="shared" si="3"/>
        <v>6.0795000000000003</v>
      </c>
      <c r="H33" s="32">
        <f t="shared" si="4"/>
        <v>0</v>
      </c>
      <c r="I33" s="48">
        <f t="shared" si="5"/>
        <v>13374.900000000001</v>
      </c>
      <c r="J33" s="34"/>
      <c r="K33" s="14"/>
    </row>
    <row r="34" spans="1:12" ht="30" customHeight="1" thickBot="1" x14ac:dyDescent="0.4">
      <c r="A34" s="35" t="s">
        <v>33</v>
      </c>
      <c r="B34" s="36"/>
      <c r="C34" s="37"/>
      <c r="D34" s="38"/>
      <c r="E34" s="67"/>
      <c r="F34" s="39"/>
      <c r="G34" s="36"/>
      <c r="H34" s="39">
        <f>SUM(H18:H26)</f>
        <v>186644.99</v>
      </c>
      <c r="I34" s="43">
        <f>SUM(I18:I33)</f>
        <v>244262.62270000001</v>
      </c>
      <c r="J34" s="40"/>
      <c r="K34" s="89">
        <f>H34*1.08</f>
        <v>201576.58920000002</v>
      </c>
      <c r="L34" s="89">
        <f>K34*0.05</f>
        <v>10078.829460000001</v>
      </c>
    </row>
    <row r="35" spans="1:12" x14ac:dyDescent="0.3">
      <c r="A35" s="16" t="s">
        <v>18</v>
      </c>
      <c r="J35" s="15"/>
    </row>
    <row r="36" spans="1:12" x14ac:dyDescent="0.3">
      <c r="A36" s="16"/>
      <c r="J36" s="15"/>
    </row>
    <row r="37" spans="1:12" x14ac:dyDescent="0.3">
      <c r="A37" s="16"/>
      <c r="J37" s="15"/>
    </row>
    <row r="38" spans="1:12" ht="15" thickBot="1" x14ac:dyDescent="0.35">
      <c r="A38" s="11"/>
      <c r="B38" s="12"/>
      <c r="C38" s="12"/>
      <c r="D38" s="12"/>
      <c r="E38" s="12"/>
      <c r="F38" s="12"/>
      <c r="G38" s="12"/>
      <c r="H38" s="12"/>
      <c r="I38" s="12"/>
      <c r="J38" s="13"/>
    </row>
    <row r="39" spans="1:12" x14ac:dyDescent="0.3">
      <c r="A39" s="22"/>
      <c r="J39" s="15"/>
    </row>
    <row r="40" spans="1:12" x14ac:dyDescent="0.3">
      <c r="A40" s="22"/>
      <c r="B40" s="26" t="s">
        <v>55</v>
      </c>
      <c r="C40" s="26"/>
      <c r="D40" s="26"/>
      <c r="E40" s="26" t="s">
        <v>11</v>
      </c>
      <c r="F40" s="26"/>
      <c r="I40" s="26" t="s">
        <v>12</v>
      </c>
      <c r="J40" s="15"/>
    </row>
    <row r="41" spans="1:12" x14ac:dyDescent="0.3">
      <c r="A41" s="22"/>
      <c r="B41" s="1"/>
      <c r="C41" s="1"/>
      <c r="D41" s="1"/>
      <c r="J41" s="15"/>
    </row>
    <row r="42" spans="1:12" x14ac:dyDescent="0.3">
      <c r="A42" s="22"/>
      <c r="B42" s="1"/>
      <c r="C42" s="1"/>
      <c r="D42" s="1"/>
      <c r="E42" s="1" t="s">
        <v>48</v>
      </c>
      <c r="F42" s="1"/>
      <c r="I42" s="1" t="s">
        <v>15</v>
      </c>
      <c r="J42" s="15"/>
    </row>
    <row r="43" spans="1:12" x14ac:dyDescent="0.3">
      <c r="A43" s="22"/>
      <c r="J43" s="15"/>
    </row>
    <row r="44" spans="1:12" x14ac:dyDescent="0.3">
      <c r="A44" s="22"/>
      <c r="J44" s="15"/>
    </row>
    <row r="45" spans="1:12" ht="15" thickBot="1" x14ac:dyDescent="0.35">
      <c r="A45" s="11"/>
      <c r="B45" s="12"/>
      <c r="C45" s="12"/>
      <c r="D45" s="12"/>
      <c r="E45" s="12"/>
      <c r="F45" s="12"/>
      <c r="G45" s="12"/>
      <c r="H45" s="12"/>
      <c r="I45" s="12"/>
      <c r="J45" s="13"/>
    </row>
  </sheetData>
  <mergeCells count="12">
    <mergeCell ref="A29:G29"/>
    <mergeCell ref="K8:N8"/>
    <mergeCell ref="K9:N9"/>
    <mergeCell ref="K10:N10"/>
    <mergeCell ref="G8:J8"/>
    <mergeCell ref="G9:J9"/>
    <mergeCell ref="G10:J10"/>
    <mergeCell ref="B1:F1"/>
    <mergeCell ref="G1:J2"/>
    <mergeCell ref="A2:F2"/>
    <mergeCell ref="G12:H12"/>
    <mergeCell ref="A17:J17"/>
  </mergeCells>
  <phoneticPr fontId="4" type="noConversion"/>
  <pageMargins left="0.25" right="0.25" top="0.75" bottom="0.75" header="0.3" footer="0.3"/>
  <pageSetup paperSize="9" scale="4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47184-5137-4345-A22C-B182AB9A9908}">
  <sheetPr>
    <pageSetUpPr fitToPage="1"/>
  </sheetPr>
  <dimension ref="A1:Q38"/>
  <sheetViews>
    <sheetView topLeftCell="A10" zoomScale="70" zoomScaleNormal="70" workbookViewId="0">
      <selection activeCell="I27" sqref="I27:J27"/>
    </sheetView>
  </sheetViews>
  <sheetFormatPr defaultRowHeight="14.4" x14ac:dyDescent="0.3"/>
  <cols>
    <col min="1" max="1" width="13" customWidth="1"/>
    <col min="2" max="2" width="64.44140625" customWidth="1"/>
    <col min="3" max="3" width="11.109375" customWidth="1"/>
    <col min="4" max="4" width="16.109375" customWidth="1"/>
    <col min="5" max="5" width="16.33203125" customWidth="1"/>
    <col min="6" max="6" width="11.6640625" customWidth="1"/>
    <col min="7" max="7" width="5.33203125" customWidth="1"/>
    <col min="8" max="8" width="15" customWidth="1"/>
    <col min="9" max="9" width="16.5546875" bestFit="1" customWidth="1"/>
    <col min="10" max="10" width="21.6640625" bestFit="1" customWidth="1"/>
    <col min="11" max="11" width="36.44140625" customWidth="1"/>
    <col min="12" max="12" width="19.33203125" bestFit="1" customWidth="1"/>
    <col min="16" max="16" width="9.88671875" customWidth="1"/>
    <col min="17" max="17" width="13.6640625" customWidth="1"/>
    <col min="18" max="18" width="14.44140625" customWidth="1"/>
  </cols>
  <sheetData>
    <row r="1" spans="1:17" ht="94.2" customHeight="1" thickBot="1" x14ac:dyDescent="0.35">
      <c r="A1" s="2" t="s">
        <v>19</v>
      </c>
      <c r="B1" s="128" t="s">
        <v>36</v>
      </c>
      <c r="C1" s="128"/>
      <c r="D1" s="128"/>
      <c r="E1" s="128"/>
      <c r="F1" s="129"/>
      <c r="G1" s="143" t="s">
        <v>37</v>
      </c>
      <c r="H1" s="130"/>
      <c r="I1" s="130"/>
      <c r="J1" s="130"/>
      <c r="K1" s="131"/>
    </row>
    <row r="2" spans="1:17" ht="46.8" customHeight="1" x14ac:dyDescent="0.3">
      <c r="A2" s="134" t="s">
        <v>38</v>
      </c>
      <c r="B2" s="135"/>
      <c r="C2" s="135"/>
      <c r="D2" s="135"/>
      <c r="E2" s="135"/>
      <c r="F2" s="136"/>
      <c r="G2" s="144"/>
      <c r="H2" s="132"/>
      <c r="I2" s="132"/>
      <c r="J2" s="132"/>
      <c r="K2" s="133"/>
    </row>
    <row r="3" spans="1:17" ht="15" customHeight="1" x14ac:dyDescent="0.3">
      <c r="A3" s="9" t="s">
        <v>14</v>
      </c>
      <c r="B3" s="20" t="s">
        <v>20</v>
      </c>
      <c r="C3" s="20"/>
      <c r="D3" s="20"/>
      <c r="E3" s="20"/>
      <c r="F3" s="10"/>
      <c r="G3" s="7"/>
      <c r="H3" s="21"/>
      <c r="I3" s="21"/>
      <c r="J3" s="21"/>
      <c r="K3" s="8"/>
    </row>
    <row r="4" spans="1:17" ht="15" thickBot="1" x14ac:dyDescent="0.35">
      <c r="A4" s="22" t="s">
        <v>13</v>
      </c>
      <c r="B4" s="51" t="s">
        <v>39</v>
      </c>
      <c r="F4" s="15"/>
      <c r="G4" s="3" t="s">
        <v>56</v>
      </c>
      <c r="H4" s="4" t="s">
        <v>9</v>
      </c>
      <c r="I4" s="4"/>
      <c r="J4" s="4"/>
      <c r="K4" s="5">
        <v>45961</v>
      </c>
    </row>
    <row r="5" spans="1:17" ht="15" thickBot="1" x14ac:dyDescent="0.35">
      <c r="A5" s="52"/>
      <c r="B5" s="53" t="s">
        <v>58</v>
      </c>
      <c r="C5" s="54">
        <v>45931</v>
      </c>
      <c r="D5" s="55" t="s">
        <v>57</v>
      </c>
      <c r="E5" s="54">
        <f>K4</f>
        <v>45961</v>
      </c>
      <c r="F5" s="56"/>
      <c r="K5" s="15"/>
    </row>
    <row r="6" spans="1:17" x14ac:dyDescent="0.3">
      <c r="A6" s="22" t="s">
        <v>1</v>
      </c>
      <c r="K6" s="15"/>
    </row>
    <row r="7" spans="1:17" x14ac:dyDescent="0.3">
      <c r="A7" s="22"/>
      <c r="K7" s="15"/>
    </row>
    <row r="8" spans="1:17" x14ac:dyDescent="0.3">
      <c r="A8" s="23" t="s">
        <v>0</v>
      </c>
      <c r="B8" s="24" t="s">
        <v>36</v>
      </c>
      <c r="C8" s="24"/>
      <c r="D8" s="24"/>
      <c r="F8" s="24" t="s">
        <v>10</v>
      </c>
      <c r="G8" s="137" t="s">
        <v>43</v>
      </c>
      <c r="H8" s="137"/>
      <c r="I8" s="137"/>
      <c r="J8" s="137"/>
      <c r="K8" s="15"/>
    </row>
    <row r="9" spans="1:17" x14ac:dyDescent="0.3">
      <c r="A9" s="23"/>
      <c r="B9" t="s">
        <v>41</v>
      </c>
      <c r="C9" s="24"/>
      <c r="D9" s="24"/>
      <c r="F9" s="24"/>
      <c r="G9" s="119" t="s">
        <v>44</v>
      </c>
      <c r="H9" s="119"/>
      <c r="I9" s="119"/>
      <c r="J9" s="119"/>
      <c r="K9" s="15"/>
    </row>
    <row r="10" spans="1:17" x14ac:dyDescent="0.3">
      <c r="A10" s="23"/>
      <c r="B10" t="s">
        <v>42</v>
      </c>
      <c r="C10" s="24"/>
      <c r="D10" s="24"/>
      <c r="F10" s="24"/>
      <c r="G10" s="119" t="s">
        <v>45</v>
      </c>
      <c r="H10" s="119"/>
      <c r="I10" s="119"/>
      <c r="J10" s="119"/>
      <c r="K10" s="15"/>
    </row>
    <row r="11" spans="1:17" x14ac:dyDescent="0.3">
      <c r="A11" s="22"/>
      <c r="K11" s="15"/>
    </row>
    <row r="12" spans="1:17" x14ac:dyDescent="0.3">
      <c r="A12" s="25" t="s">
        <v>49</v>
      </c>
      <c r="B12" s="6" t="s">
        <v>46</v>
      </c>
      <c r="C12" s="1"/>
      <c r="D12" s="1"/>
      <c r="E12" s="1"/>
      <c r="F12" s="19" t="s">
        <v>47</v>
      </c>
      <c r="G12" s="148" t="s">
        <v>48</v>
      </c>
      <c r="H12" s="148"/>
      <c r="I12" s="1"/>
      <c r="J12" s="19" t="s">
        <v>50</v>
      </c>
      <c r="K12" s="6" t="s">
        <v>15</v>
      </c>
    </row>
    <row r="13" spans="1:17" x14ac:dyDescent="0.3">
      <c r="A13" s="22"/>
      <c r="K13" s="15"/>
    </row>
    <row r="14" spans="1:17" x14ac:dyDescent="0.3">
      <c r="A14" s="23" t="s">
        <v>16</v>
      </c>
      <c r="D14" s="27"/>
      <c r="K14" s="15"/>
    </row>
    <row r="15" spans="1:17" ht="15" thickBot="1" x14ac:dyDescent="0.35">
      <c r="A15" s="22"/>
      <c r="K15" s="15"/>
    </row>
    <row r="16" spans="1:17" ht="72" x14ac:dyDescent="0.3">
      <c r="A16" s="27" t="s">
        <v>2</v>
      </c>
      <c r="B16" s="28" t="s">
        <v>17</v>
      </c>
      <c r="C16" s="27" t="s">
        <v>22</v>
      </c>
      <c r="D16" s="27" t="s">
        <v>23</v>
      </c>
      <c r="E16" s="27" t="s">
        <v>60</v>
      </c>
      <c r="F16" s="139" t="s">
        <v>61</v>
      </c>
      <c r="G16" s="140"/>
      <c r="H16" s="27" t="s">
        <v>62</v>
      </c>
      <c r="I16" s="44" t="s">
        <v>30</v>
      </c>
      <c r="J16" s="47" t="s">
        <v>27</v>
      </c>
      <c r="K16" s="27" t="s">
        <v>32</v>
      </c>
      <c r="L16" s="17"/>
      <c r="M16" s="1"/>
      <c r="N16" s="1"/>
      <c r="O16" s="1"/>
      <c r="P16" s="1"/>
      <c r="Q16" s="1"/>
    </row>
    <row r="17" spans="1:17" x14ac:dyDescent="0.3">
      <c r="A17" s="139" t="s">
        <v>59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40"/>
      <c r="L17" s="17"/>
      <c r="M17" s="1"/>
      <c r="N17" s="1"/>
      <c r="O17" s="1"/>
      <c r="P17" s="1"/>
      <c r="Q17" s="1"/>
    </row>
    <row r="18" spans="1:17" ht="25.05" customHeight="1" x14ac:dyDescent="0.3">
      <c r="A18" s="29" t="s">
        <v>3</v>
      </c>
      <c r="B18" s="30" t="s">
        <v>21</v>
      </c>
      <c r="C18" s="31" t="s">
        <v>24</v>
      </c>
      <c r="D18" s="32">
        <v>120</v>
      </c>
      <c r="E18" s="31">
        <v>20.329999999999998</v>
      </c>
      <c r="F18" s="149">
        <v>33.14</v>
      </c>
      <c r="G18" s="150"/>
      <c r="H18" s="57">
        <f>E18+F18</f>
        <v>53.47</v>
      </c>
      <c r="I18" s="32">
        <f>F18*D18</f>
        <v>3976.8</v>
      </c>
      <c r="J18" s="48">
        <f>E18*D18</f>
        <v>2439.6</v>
      </c>
      <c r="K18" s="34"/>
      <c r="L18" s="14"/>
    </row>
    <row r="19" spans="1:17" ht="25.05" customHeight="1" x14ac:dyDescent="0.3">
      <c r="A19" s="29" t="s">
        <v>4</v>
      </c>
      <c r="B19" s="30" t="s">
        <v>34</v>
      </c>
      <c r="C19" s="31" t="s">
        <v>24</v>
      </c>
      <c r="D19" s="32">
        <v>540</v>
      </c>
      <c r="E19" s="31">
        <v>16.96</v>
      </c>
      <c r="F19" s="151">
        <v>33.145499999999998</v>
      </c>
      <c r="G19" s="152"/>
      <c r="H19" s="57">
        <f t="shared" ref="H19:H25" si="0">E19+F19</f>
        <v>50.105499999999999</v>
      </c>
      <c r="I19" s="32">
        <f t="shared" ref="I19:I25" si="1">F19*D19</f>
        <v>17898.57</v>
      </c>
      <c r="J19" s="48">
        <f t="shared" ref="J19:J24" si="2">E19*D19</f>
        <v>9158.4</v>
      </c>
      <c r="K19" s="34"/>
      <c r="L19" s="14"/>
    </row>
    <row r="20" spans="1:17" ht="25.05" customHeight="1" x14ac:dyDescent="0.3">
      <c r="A20" s="29" t="s">
        <v>5</v>
      </c>
      <c r="B20" s="30" t="s">
        <v>53</v>
      </c>
      <c r="C20" s="31" t="s">
        <v>24</v>
      </c>
      <c r="D20" s="32">
        <v>435</v>
      </c>
      <c r="E20" s="31">
        <v>36.04</v>
      </c>
      <c r="F20" s="149">
        <v>45.55</v>
      </c>
      <c r="G20" s="150"/>
      <c r="H20" s="57">
        <f t="shared" si="0"/>
        <v>81.59</v>
      </c>
      <c r="I20" s="32">
        <f t="shared" si="1"/>
        <v>19814.25</v>
      </c>
      <c r="J20" s="48">
        <f t="shared" si="2"/>
        <v>15677.4</v>
      </c>
      <c r="K20" s="34"/>
      <c r="L20" s="14"/>
    </row>
    <row r="21" spans="1:17" ht="25.05" customHeight="1" x14ac:dyDescent="0.3">
      <c r="A21" s="29" t="s">
        <v>6</v>
      </c>
      <c r="B21" s="30" t="s">
        <v>51</v>
      </c>
      <c r="C21" s="31" t="s">
        <v>24</v>
      </c>
      <c r="D21" s="32">
        <v>270</v>
      </c>
      <c r="E21" s="31">
        <v>24.58</v>
      </c>
      <c r="F21" s="149">
        <v>38.92</v>
      </c>
      <c r="G21" s="150"/>
      <c r="H21" s="57">
        <f t="shared" si="0"/>
        <v>63.5</v>
      </c>
      <c r="I21" s="32">
        <f t="shared" si="1"/>
        <v>10508.4</v>
      </c>
      <c r="J21" s="48">
        <f t="shared" si="2"/>
        <v>6636.5999999999995</v>
      </c>
      <c r="K21" s="34"/>
      <c r="L21" s="14"/>
    </row>
    <row r="22" spans="1:17" ht="25.05" customHeight="1" x14ac:dyDescent="0.3">
      <c r="A22" s="29" t="s">
        <v>7</v>
      </c>
      <c r="B22" s="30" t="s">
        <v>63</v>
      </c>
      <c r="C22" s="31" t="s">
        <v>24</v>
      </c>
      <c r="D22" s="32">
        <v>1900</v>
      </c>
      <c r="E22" s="31">
        <f>8.9955</f>
        <v>8.9954999999999998</v>
      </c>
      <c r="F22" s="149">
        <v>0</v>
      </c>
      <c r="G22" s="150"/>
      <c r="H22" s="57">
        <f t="shared" si="0"/>
        <v>8.9954999999999998</v>
      </c>
      <c r="I22" s="32">
        <f t="shared" si="1"/>
        <v>0</v>
      </c>
      <c r="J22" s="48">
        <f t="shared" si="2"/>
        <v>17091.45</v>
      </c>
      <c r="K22" s="34"/>
      <c r="L22" s="14"/>
    </row>
    <row r="23" spans="1:17" ht="25.05" customHeight="1" x14ac:dyDescent="0.3">
      <c r="A23" s="29" t="s">
        <v>68</v>
      </c>
      <c r="B23" s="30" t="s">
        <v>66</v>
      </c>
      <c r="C23" s="31" t="s">
        <v>67</v>
      </c>
      <c r="D23" s="58">
        <v>325</v>
      </c>
      <c r="E23" s="31">
        <f>7*1.5</f>
        <v>10.5</v>
      </c>
      <c r="F23" s="153">
        <v>0</v>
      </c>
      <c r="G23" s="153"/>
      <c r="H23" s="57">
        <f t="shared" si="0"/>
        <v>10.5</v>
      </c>
      <c r="I23" s="32">
        <f t="shared" si="1"/>
        <v>0</v>
      </c>
      <c r="J23" s="48">
        <f t="shared" si="2"/>
        <v>3412.5</v>
      </c>
      <c r="K23" s="34"/>
      <c r="L23" s="14"/>
    </row>
    <row r="24" spans="1:17" ht="25.05" customHeight="1" x14ac:dyDescent="0.3">
      <c r="A24" s="29" t="s">
        <v>69</v>
      </c>
      <c r="B24" s="30" t="s">
        <v>64</v>
      </c>
      <c r="C24" s="31" t="s">
        <v>65</v>
      </c>
      <c r="D24" s="58">
        <v>162</v>
      </c>
      <c r="E24" s="31">
        <v>227.71</v>
      </c>
      <c r="F24" s="153">
        <v>0</v>
      </c>
      <c r="G24" s="153"/>
      <c r="H24" s="57">
        <f t="shared" si="0"/>
        <v>227.71</v>
      </c>
      <c r="I24" s="32">
        <f t="shared" si="1"/>
        <v>0</v>
      </c>
      <c r="J24" s="48">
        <f t="shared" si="2"/>
        <v>36889.020000000004</v>
      </c>
      <c r="K24" s="34"/>
      <c r="L24" s="14"/>
    </row>
    <row r="25" spans="1:17" ht="25.05" customHeight="1" x14ac:dyDescent="0.3">
      <c r="A25" s="29" t="s">
        <v>70</v>
      </c>
      <c r="B25" s="30" t="s">
        <v>52</v>
      </c>
      <c r="C25" s="31" t="s">
        <v>54</v>
      </c>
      <c r="D25" s="32">
        <v>2200</v>
      </c>
      <c r="E25" s="31">
        <f>10.035</f>
        <v>10.035</v>
      </c>
      <c r="F25" s="149">
        <f>9575/1000</f>
        <v>9.5749999999999993</v>
      </c>
      <c r="G25" s="150"/>
      <c r="H25" s="57">
        <f t="shared" si="0"/>
        <v>19.61</v>
      </c>
      <c r="I25" s="32">
        <f t="shared" si="1"/>
        <v>21065</v>
      </c>
      <c r="J25" s="48">
        <f t="shared" ref="J25" si="3">E25*D25</f>
        <v>22077</v>
      </c>
      <c r="K25" s="34"/>
      <c r="L25" s="14"/>
    </row>
    <row r="26" spans="1:17" ht="25.05" customHeight="1" thickBot="1" x14ac:dyDescent="0.35">
      <c r="A26" s="29"/>
      <c r="B26" s="30"/>
      <c r="C26" s="31"/>
      <c r="D26" s="49"/>
      <c r="E26" s="32"/>
      <c r="F26" s="145"/>
      <c r="G26" s="145"/>
      <c r="H26" s="57"/>
      <c r="I26" s="32"/>
      <c r="J26" s="48"/>
      <c r="K26" s="34"/>
      <c r="L26" s="14"/>
    </row>
    <row r="27" spans="1:17" ht="30" customHeight="1" thickBot="1" x14ac:dyDescent="0.4">
      <c r="A27" s="35" t="s">
        <v>33</v>
      </c>
      <c r="B27" s="36"/>
      <c r="C27" s="37"/>
      <c r="D27" s="38"/>
      <c r="E27" s="37"/>
      <c r="F27" s="146"/>
      <c r="G27" s="147"/>
      <c r="H27" s="36"/>
      <c r="I27" s="39">
        <f>SUM(I18:I26)</f>
        <v>73263.01999999999</v>
      </c>
      <c r="J27" s="43">
        <f>SUM(J18:J26)</f>
        <v>113381.97</v>
      </c>
      <c r="K27" s="40"/>
    </row>
    <row r="28" spans="1:17" x14ac:dyDescent="0.3">
      <c r="A28" s="16" t="s">
        <v>18</v>
      </c>
      <c r="K28" s="15"/>
    </row>
    <row r="29" spans="1:17" x14ac:dyDescent="0.3">
      <c r="A29" s="16"/>
      <c r="K29" s="15"/>
    </row>
    <row r="30" spans="1:17" x14ac:dyDescent="0.3">
      <c r="A30" s="16"/>
      <c r="K30" s="15"/>
    </row>
    <row r="31" spans="1:17" ht="15" thickBot="1" x14ac:dyDescent="0.35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3"/>
    </row>
    <row r="32" spans="1:17" x14ac:dyDescent="0.3">
      <c r="A32" s="22"/>
      <c r="K32" s="15"/>
    </row>
    <row r="33" spans="1:11" x14ac:dyDescent="0.3">
      <c r="A33" s="22"/>
      <c r="B33" s="26" t="s">
        <v>55</v>
      </c>
      <c r="C33" s="26"/>
      <c r="D33" s="26"/>
      <c r="E33" s="26" t="s">
        <v>11</v>
      </c>
      <c r="F33" s="26"/>
      <c r="G33" s="26"/>
      <c r="J33" s="26" t="s">
        <v>12</v>
      </c>
      <c r="K33" s="15"/>
    </row>
    <row r="34" spans="1:11" x14ac:dyDescent="0.3">
      <c r="A34" s="22"/>
      <c r="B34" s="1"/>
      <c r="C34" s="1"/>
      <c r="D34" s="1"/>
      <c r="K34" s="15"/>
    </row>
    <row r="35" spans="1:11" x14ac:dyDescent="0.3">
      <c r="A35" s="22"/>
      <c r="B35" s="1"/>
      <c r="C35" s="1"/>
      <c r="D35" s="1"/>
      <c r="E35" s="1" t="s">
        <v>48</v>
      </c>
      <c r="F35" s="1"/>
      <c r="G35" s="1"/>
      <c r="J35" s="1" t="s">
        <v>15</v>
      </c>
      <c r="K35" s="15"/>
    </row>
    <row r="36" spans="1:11" x14ac:dyDescent="0.3">
      <c r="A36" s="22"/>
      <c r="K36" s="15"/>
    </row>
    <row r="37" spans="1:11" x14ac:dyDescent="0.3">
      <c r="A37" s="22"/>
      <c r="K37" s="15"/>
    </row>
    <row r="38" spans="1:11" ht="15" thickBot="1" x14ac:dyDescent="0.35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3"/>
    </row>
  </sheetData>
  <mergeCells count="19">
    <mergeCell ref="F26:G26"/>
    <mergeCell ref="F27:G27"/>
    <mergeCell ref="G12:H12"/>
    <mergeCell ref="F16:G16"/>
    <mergeCell ref="F18:G18"/>
    <mergeCell ref="F19:G19"/>
    <mergeCell ref="F20:G20"/>
    <mergeCell ref="A17:K17"/>
    <mergeCell ref="F23:G23"/>
    <mergeCell ref="F24:G24"/>
    <mergeCell ref="F25:G25"/>
    <mergeCell ref="F21:G21"/>
    <mergeCell ref="F22:G22"/>
    <mergeCell ref="G10:J10"/>
    <mergeCell ref="B1:F1"/>
    <mergeCell ref="G1:K2"/>
    <mergeCell ref="A2:F2"/>
    <mergeCell ref="G8:J8"/>
    <mergeCell ref="G9:J9"/>
  </mergeCells>
  <phoneticPr fontId="4" type="noConversion"/>
  <pageMargins left="0.25" right="0.25" top="0.75" bottom="0.75" header="0.3" footer="0.3"/>
  <pageSetup paperSize="9" scale="6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52735-716E-4F82-A8FF-2E3C8AA6700D}">
  <sheetPr>
    <pageSetUpPr fitToPage="1"/>
  </sheetPr>
  <dimension ref="A1:S34"/>
  <sheetViews>
    <sheetView topLeftCell="A7" zoomScale="70" zoomScaleNormal="70" workbookViewId="0">
      <selection activeCell="K23" sqref="K23"/>
    </sheetView>
  </sheetViews>
  <sheetFormatPr defaultRowHeight="14.4" x14ac:dyDescent="0.3"/>
  <cols>
    <col min="1" max="1" width="13" customWidth="1"/>
    <col min="2" max="2" width="59.6640625" customWidth="1"/>
    <col min="3" max="3" width="11.109375" customWidth="1"/>
    <col min="4" max="4" width="7.77734375" bestFit="1" customWidth="1"/>
    <col min="5" max="5" width="12.21875" bestFit="1" customWidth="1"/>
    <col min="6" max="6" width="11.6640625" customWidth="1"/>
    <col min="7" max="7" width="5.33203125" customWidth="1"/>
    <col min="8" max="8" width="14.21875" customWidth="1"/>
    <col min="9" max="9" width="16.5546875" bestFit="1" customWidth="1"/>
    <col min="10" max="10" width="22.44140625" bestFit="1" customWidth="1"/>
    <col min="11" max="11" width="21.6640625" bestFit="1" customWidth="1"/>
    <col min="12" max="12" width="18.88671875" customWidth="1"/>
    <col min="13" max="13" width="13.88671875" customWidth="1"/>
    <col min="14" max="14" width="19.33203125" bestFit="1" customWidth="1"/>
    <col min="18" max="18" width="9.88671875" customWidth="1"/>
    <col min="19" max="19" width="13.6640625" customWidth="1"/>
    <col min="20" max="20" width="14.44140625" customWidth="1"/>
  </cols>
  <sheetData>
    <row r="1" spans="1:19" ht="94.2" customHeight="1" thickBot="1" x14ac:dyDescent="0.35">
      <c r="A1" s="2" t="s">
        <v>19</v>
      </c>
      <c r="B1" s="128" t="s">
        <v>36</v>
      </c>
      <c r="C1" s="128"/>
      <c r="D1" s="128"/>
      <c r="E1" s="128"/>
      <c r="F1" s="129"/>
      <c r="G1" s="143" t="s">
        <v>37</v>
      </c>
      <c r="H1" s="130"/>
      <c r="I1" s="130"/>
      <c r="J1" s="130"/>
      <c r="K1" s="130"/>
      <c r="L1" s="130"/>
      <c r="M1" s="131"/>
    </row>
    <row r="2" spans="1:19" ht="46.8" customHeight="1" x14ac:dyDescent="0.3">
      <c r="A2" s="134" t="s">
        <v>38</v>
      </c>
      <c r="B2" s="135"/>
      <c r="C2" s="135"/>
      <c r="D2" s="135"/>
      <c r="E2" s="135"/>
      <c r="F2" s="136"/>
      <c r="G2" s="144"/>
      <c r="H2" s="132"/>
      <c r="I2" s="132"/>
      <c r="J2" s="132"/>
      <c r="K2" s="132"/>
      <c r="L2" s="132"/>
      <c r="M2" s="133"/>
    </row>
    <row r="3" spans="1:19" ht="15" customHeight="1" x14ac:dyDescent="0.3">
      <c r="A3" s="9" t="s">
        <v>14</v>
      </c>
      <c r="B3" s="20" t="s">
        <v>20</v>
      </c>
      <c r="C3" s="20"/>
      <c r="D3" s="20"/>
      <c r="E3" s="20"/>
      <c r="F3" s="10"/>
      <c r="G3" s="7"/>
      <c r="H3" s="21"/>
      <c r="I3" s="21"/>
      <c r="J3" s="21"/>
      <c r="K3" s="21"/>
      <c r="L3" s="21"/>
      <c r="M3" s="8"/>
    </row>
    <row r="4" spans="1:19" ht="15" thickBot="1" x14ac:dyDescent="0.35">
      <c r="A4" s="11" t="s">
        <v>13</v>
      </c>
      <c r="B4" s="18" t="s">
        <v>39</v>
      </c>
      <c r="C4" s="12"/>
      <c r="D4" s="12"/>
      <c r="E4" s="12"/>
      <c r="F4" s="13"/>
      <c r="G4" s="3" t="s">
        <v>8</v>
      </c>
      <c r="H4" s="4" t="s">
        <v>9</v>
      </c>
      <c r="I4" s="4"/>
      <c r="J4" s="4"/>
      <c r="K4" s="4"/>
      <c r="L4" s="4"/>
      <c r="M4" s="5">
        <v>45930</v>
      </c>
    </row>
    <row r="5" spans="1:19" x14ac:dyDescent="0.3">
      <c r="A5" s="22" t="s">
        <v>40</v>
      </c>
      <c r="M5" s="15"/>
    </row>
    <row r="6" spans="1:19" x14ac:dyDescent="0.3">
      <c r="A6" s="22" t="s">
        <v>1</v>
      </c>
      <c r="M6" s="15"/>
    </row>
    <row r="7" spans="1:19" x14ac:dyDescent="0.3">
      <c r="A7" s="22"/>
      <c r="M7" s="15"/>
    </row>
    <row r="8" spans="1:19" x14ac:dyDescent="0.3">
      <c r="A8" s="23" t="s">
        <v>0</v>
      </c>
      <c r="B8" s="24" t="s">
        <v>36</v>
      </c>
      <c r="C8" s="24"/>
      <c r="D8" s="24"/>
      <c r="F8" s="24" t="s">
        <v>10</v>
      </c>
      <c r="G8" s="137" t="s">
        <v>43</v>
      </c>
      <c r="H8" s="137"/>
      <c r="I8" s="137"/>
      <c r="J8" s="137"/>
      <c r="K8" s="137"/>
      <c r="L8" s="137"/>
      <c r="M8" s="15"/>
    </row>
    <row r="9" spans="1:19" x14ac:dyDescent="0.3">
      <c r="A9" s="23"/>
      <c r="B9" t="s">
        <v>41</v>
      </c>
      <c r="C9" s="24"/>
      <c r="D9" s="24"/>
      <c r="F9" s="24"/>
      <c r="G9" s="119" t="s">
        <v>44</v>
      </c>
      <c r="H9" s="119"/>
      <c r="I9" s="119"/>
      <c r="J9" s="119"/>
      <c r="K9" s="119"/>
      <c r="L9" s="119"/>
      <c r="M9" s="15"/>
    </row>
    <row r="10" spans="1:19" x14ac:dyDescent="0.3">
      <c r="A10" s="23"/>
      <c r="B10" t="s">
        <v>42</v>
      </c>
      <c r="C10" s="24"/>
      <c r="D10" s="24"/>
      <c r="F10" s="24"/>
      <c r="G10" s="119" t="s">
        <v>45</v>
      </c>
      <c r="H10" s="119"/>
      <c r="I10" s="119"/>
      <c r="J10" s="119"/>
      <c r="K10" s="119"/>
      <c r="L10" s="119"/>
      <c r="M10" s="15"/>
    </row>
    <row r="11" spans="1:19" x14ac:dyDescent="0.3">
      <c r="A11" s="22"/>
      <c r="M11" s="15"/>
    </row>
    <row r="12" spans="1:19" x14ac:dyDescent="0.3">
      <c r="A12" s="25" t="s">
        <v>49</v>
      </c>
      <c r="B12" s="6" t="s">
        <v>46</v>
      </c>
      <c r="C12" s="1"/>
      <c r="D12" s="1"/>
      <c r="E12" s="1"/>
      <c r="F12" s="19" t="s">
        <v>47</v>
      </c>
      <c r="G12" s="148" t="s">
        <v>48</v>
      </c>
      <c r="H12" s="148"/>
      <c r="I12" s="1"/>
      <c r="J12" s="1"/>
      <c r="K12" s="19" t="s">
        <v>50</v>
      </c>
      <c r="L12" s="148" t="s">
        <v>15</v>
      </c>
      <c r="M12" s="148"/>
    </row>
    <row r="13" spans="1:19" x14ac:dyDescent="0.3">
      <c r="A13" s="22"/>
      <c r="M13" s="15"/>
    </row>
    <row r="14" spans="1:19" x14ac:dyDescent="0.3">
      <c r="A14" s="23" t="s">
        <v>16</v>
      </c>
      <c r="M14" s="15"/>
    </row>
    <row r="15" spans="1:19" ht="15" thickBot="1" x14ac:dyDescent="0.35">
      <c r="A15" s="22"/>
      <c r="M15" s="15"/>
    </row>
    <row r="16" spans="1:19" ht="43.2" x14ac:dyDescent="0.3">
      <c r="A16" s="27" t="s">
        <v>2</v>
      </c>
      <c r="B16" s="28" t="s">
        <v>17</v>
      </c>
      <c r="C16" s="27" t="s">
        <v>22</v>
      </c>
      <c r="D16" s="27" t="s">
        <v>28</v>
      </c>
      <c r="E16" s="27" t="s">
        <v>23</v>
      </c>
      <c r="F16" s="156" t="s">
        <v>25</v>
      </c>
      <c r="G16" s="156"/>
      <c r="H16" s="27" t="s">
        <v>26</v>
      </c>
      <c r="I16" s="27" t="s">
        <v>29</v>
      </c>
      <c r="J16" s="44" t="s">
        <v>30</v>
      </c>
      <c r="K16" s="47" t="s">
        <v>27</v>
      </c>
      <c r="L16" s="45" t="s">
        <v>31</v>
      </c>
      <c r="M16" s="27" t="s">
        <v>32</v>
      </c>
      <c r="N16" s="17"/>
      <c r="O16" s="1"/>
      <c r="P16" s="1"/>
      <c r="Q16" s="1"/>
      <c r="R16" s="1"/>
      <c r="S16" s="1"/>
    </row>
    <row r="17" spans="1:14" ht="25.05" customHeight="1" x14ac:dyDescent="0.3">
      <c r="A17" s="29" t="s">
        <v>3</v>
      </c>
      <c r="B17" s="30" t="s">
        <v>21</v>
      </c>
      <c r="C17" s="31" t="s">
        <v>24</v>
      </c>
      <c r="D17" s="49">
        <v>33.14</v>
      </c>
      <c r="E17" s="32">
        <v>120</v>
      </c>
      <c r="F17" s="145">
        <f>D17*E17</f>
        <v>3976.8</v>
      </c>
      <c r="G17" s="145"/>
      <c r="H17" s="33">
        <v>1</v>
      </c>
      <c r="I17" s="32">
        <f>F17*H17</f>
        <v>3976.8</v>
      </c>
      <c r="J17" s="41">
        <v>0</v>
      </c>
      <c r="K17" s="48">
        <f>I17-J17</f>
        <v>3976.8</v>
      </c>
      <c r="L17" s="46">
        <f>F17-I17</f>
        <v>0</v>
      </c>
      <c r="M17" s="34"/>
      <c r="N17" s="14"/>
    </row>
    <row r="18" spans="1:14" ht="25.05" customHeight="1" x14ac:dyDescent="0.3">
      <c r="A18" s="29" t="s">
        <v>4</v>
      </c>
      <c r="B18" s="30" t="s">
        <v>34</v>
      </c>
      <c r="C18" s="31" t="s">
        <v>24</v>
      </c>
      <c r="D18" s="50">
        <v>33.145499999999998</v>
      </c>
      <c r="E18" s="32">
        <v>540</v>
      </c>
      <c r="F18" s="145">
        <f t="shared" ref="F18:F20" si="0">D18*E18</f>
        <v>17898.57</v>
      </c>
      <c r="G18" s="145"/>
      <c r="H18" s="33">
        <v>1</v>
      </c>
      <c r="I18" s="32">
        <f t="shared" ref="I18:I20" si="1">F18*H18</f>
        <v>17898.57</v>
      </c>
      <c r="J18" s="41">
        <v>0</v>
      </c>
      <c r="K18" s="48">
        <f t="shared" ref="K18:K20" si="2">I18-J18</f>
        <v>17898.57</v>
      </c>
      <c r="L18" s="46">
        <f t="shared" ref="L18:L20" si="3">F18-I18</f>
        <v>0</v>
      </c>
      <c r="M18" s="34"/>
      <c r="N18" s="14"/>
    </row>
    <row r="19" spans="1:14" ht="25.05" customHeight="1" x14ac:dyDescent="0.3">
      <c r="A19" s="29" t="s">
        <v>5</v>
      </c>
      <c r="B19" s="30" t="s">
        <v>53</v>
      </c>
      <c r="C19" s="31" t="s">
        <v>24</v>
      </c>
      <c r="D19" s="50">
        <v>45.55</v>
      </c>
      <c r="E19" s="32">
        <v>435</v>
      </c>
      <c r="F19" s="145">
        <f t="shared" ref="F19" si="4">D19*E19</f>
        <v>19814.25</v>
      </c>
      <c r="G19" s="145"/>
      <c r="H19" s="33">
        <v>1</v>
      </c>
      <c r="I19" s="32">
        <f t="shared" ref="I19" si="5">F19*H19</f>
        <v>19814.25</v>
      </c>
      <c r="J19" s="41">
        <v>0</v>
      </c>
      <c r="K19" s="48">
        <f t="shared" ref="K19" si="6">I19-J19</f>
        <v>19814.25</v>
      </c>
      <c r="L19" s="46">
        <f t="shared" ref="L19" si="7">F19-I19</f>
        <v>0</v>
      </c>
      <c r="M19" s="34"/>
      <c r="N19" s="14"/>
    </row>
    <row r="20" spans="1:14" ht="25.05" customHeight="1" x14ac:dyDescent="0.3">
      <c r="A20" s="29" t="s">
        <v>6</v>
      </c>
      <c r="B20" s="30" t="s">
        <v>51</v>
      </c>
      <c r="C20" s="31" t="s">
        <v>24</v>
      </c>
      <c r="D20" s="49">
        <v>38.92</v>
      </c>
      <c r="E20" s="32">
        <v>270</v>
      </c>
      <c r="F20" s="145">
        <f t="shared" si="0"/>
        <v>10508.4</v>
      </c>
      <c r="G20" s="145"/>
      <c r="H20" s="33">
        <v>1</v>
      </c>
      <c r="I20" s="32">
        <f t="shared" si="1"/>
        <v>10508.4</v>
      </c>
      <c r="J20" s="41">
        <v>0</v>
      </c>
      <c r="K20" s="48">
        <f t="shared" si="2"/>
        <v>10508.4</v>
      </c>
      <c r="L20" s="46">
        <f t="shared" si="3"/>
        <v>0</v>
      </c>
      <c r="M20" s="34"/>
      <c r="N20" s="14"/>
    </row>
    <row r="21" spans="1:14" ht="25.05" customHeight="1" x14ac:dyDescent="0.3">
      <c r="A21" s="29" t="s">
        <v>7</v>
      </c>
      <c r="B21" s="30" t="s">
        <v>52</v>
      </c>
      <c r="C21" s="31" t="s">
        <v>54</v>
      </c>
      <c r="D21" s="49">
        <f>9575/1000</f>
        <v>9.5749999999999993</v>
      </c>
      <c r="E21" s="32">
        <v>2200</v>
      </c>
      <c r="F21" s="145">
        <f t="shared" ref="F21" si="8">D21*E21</f>
        <v>21065</v>
      </c>
      <c r="G21" s="145"/>
      <c r="H21" s="33">
        <v>1</v>
      </c>
      <c r="I21" s="32">
        <f t="shared" ref="I21" si="9">F21*H21</f>
        <v>21065</v>
      </c>
      <c r="J21" s="41">
        <v>0</v>
      </c>
      <c r="K21" s="48">
        <f t="shared" ref="K21" si="10">I21-J21</f>
        <v>21065</v>
      </c>
      <c r="L21" s="46">
        <f t="shared" ref="L21" si="11">F21-I21</f>
        <v>0</v>
      </c>
      <c r="M21" s="34"/>
      <c r="N21" s="14"/>
    </row>
    <row r="22" spans="1:14" ht="25.05" customHeight="1" thickBot="1" x14ac:dyDescent="0.35">
      <c r="A22" s="29"/>
      <c r="B22" s="30"/>
      <c r="C22" s="31"/>
      <c r="D22" s="49"/>
      <c r="E22" s="32"/>
      <c r="F22" s="145"/>
      <c r="G22" s="145"/>
      <c r="H22" s="33"/>
      <c r="I22" s="32"/>
      <c r="J22" s="41"/>
      <c r="K22" s="48"/>
      <c r="L22" s="46"/>
      <c r="M22" s="34"/>
      <c r="N22" s="14"/>
    </row>
    <row r="23" spans="1:14" ht="30" customHeight="1" thickBot="1" x14ac:dyDescent="0.4">
      <c r="A23" s="35" t="s">
        <v>33</v>
      </c>
      <c r="B23" s="36"/>
      <c r="C23" s="37"/>
      <c r="D23" s="38"/>
      <c r="E23" s="37"/>
      <c r="F23" s="146">
        <f>SUM(F17:F22)</f>
        <v>73263.01999999999</v>
      </c>
      <c r="G23" s="147"/>
      <c r="H23" s="36"/>
      <c r="I23" s="39">
        <f>SUM(I17:I22)</f>
        <v>73263.01999999999</v>
      </c>
      <c r="J23" s="39">
        <f>SUM(J17:J22)</f>
        <v>0</v>
      </c>
      <c r="K23" s="43">
        <f>SUM(K17:K22)</f>
        <v>73263.01999999999</v>
      </c>
      <c r="L23" s="42">
        <f>SUM(L17:L22)</f>
        <v>0</v>
      </c>
      <c r="M23" s="40"/>
    </row>
    <row r="24" spans="1:14" x14ac:dyDescent="0.3">
      <c r="A24" s="16" t="s">
        <v>18</v>
      </c>
      <c r="M24" s="15"/>
    </row>
    <row r="25" spans="1:14" x14ac:dyDescent="0.3">
      <c r="A25" s="16" t="s">
        <v>35</v>
      </c>
      <c r="M25" s="15"/>
    </row>
    <row r="26" spans="1:14" x14ac:dyDescent="0.3">
      <c r="A26" s="16"/>
      <c r="M26" s="15"/>
    </row>
    <row r="27" spans="1:14" ht="15" thickBot="1" x14ac:dyDescent="0.3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3"/>
    </row>
    <row r="28" spans="1:14" x14ac:dyDescent="0.3">
      <c r="A28" s="22"/>
      <c r="M28" s="15"/>
    </row>
    <row r="29" spans="1:14" x14ac:dyDescent="0.3">
      <c r="A29" s="22"/>
      <c r="B29" s="26" t="s">
        <v>55</v>
      </c>
      <c r="C29" s="26"/>
      <c r="D29" s="26"/>
      <c r="E29" s="26"/>
      <c r="F29" s="26"/>
      <c r="G29" s="154" t="s">
        <v>11</v>
      </c>
      <c r="H29" s="154"/>
      <c r="I29" s="154"/>
      <c r="J29" s="26"/>
      <c r="K29" s="154" t="s">
        <v>12</v>
      </c>
      <c r="L29" s="154"/>
      <c r="M29" s="15"/>
    </row>
    <row r="30" spans="1:14" x14ac:dyDescent="0.3">
      <c r="A30" s="22"/>
      <c r="B30" s="1"/>
      <c r="C30" s="1"/>
      <c r="D30" s="1"/>
      <c r="E30" s="1"/>
      <c r="F30" s="1"/>
      <c r="L30" s="1"/>
      <c r="M30" s="15"/>
    </row>
    <row r="31" spans="1:14" x14ac:dyDescent="0.3">
      <c r="A31" s="22"/>
      <c r="B31" s="1"/>
      <c r="C31" s="1"/>
      <c r="D31" s="1"/>
      <c r="E31" s="1"/>
      <c r="F31" s="1"/>
      <c r="G31" s="155" t="s">
        <v>48</v>
      </c>
      <c r="H31" s="155"/>
      <c r="I31" s="155"/>
      <c r="J31" s="1"/>
      <c r="K31" s="155" t="s">
        <v>15</v>
      </c>
      <c r="L31" s="155"/>
      <c r="M31" s="15"/>
    </row>
    <row r="32" spans="1:14" x14ac:dyDescent="0.3">
      <c r="A32" s="22"/>
      <c r="M32" s="15"/>
    </row>
    <row r="33" spans="1:13" x14ac:dyDescent="0.3">
      <c r="A33" s="22"/>
      <c r="M33" s="15"/>
    </row>
    <row r="34" spans="1:13" ht="15" thickBot="1" x14ac:dyDescent="0.35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3"/>
    </row>
  </sheetData>
  <mergeCells count="20">
    <mergeCell ref="L12:M12"/>
    <mergeCell ref="F19:G19"/>
    <mergeCell ref="K29:L29"/>
    <mergeCell ref="K31:L31"/>
    <mergeCell ref="G29:I29"/>
    <mergeCell ref="G31:I31"/>
    <mergeCell ref="F23:G23"/>
    <mergeCell ref="F22:G22"/>
    <mergeCell ref="G12:H12"/>
    <mergeCell ref="F16:G16"/>
    <mergeCell ref="F17:G17"/>
    <mergeCell ref="F18:G18"/>
    <mergeCell ref="F20:G20"/>
    <mergeCell ref="F21:G21"/>
    <mergeCell ref="G10:L10"/>
    <mergeCell ref="B1:F1"/>
    <mergeCell ref="G1:M2"/>
    <mergeCell ref="A2:F2"/>
    <mergeCell ref="G8:L8"/>
    <mergeCell ref="G9:L9"/>
  </mergeCells>
  <phoneticPr fontId="4" type="noConversion"/>
  <pageMargins left="0.25" right="0.25" top="0.75" bottom="0.75" header="0.3" footer="0.3"/>
  <pageSetup paperSize="9" scale="6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7</vt:i4>
      </vt:variant>
      <vt:variant>
        <vt:lpstr>Nazwane zakresy</vt:lpstr>
      </vt:variant>
      <vt:variant>
        <vt:i4>7</vt:i4>
      </vt:variant>
    </vt:vector>
  </HeadingPairs>
  <TitlesOfParts>
    <vt:vector size="14" baseType="lpstr">
      <vt:lpstr>Protokół 23-04-2026 </vt:lpstr>
      <vt:lpstr>Protokół 18-03-2026</vt:lpstr>
      <vt:lpstr>Protokół 18-02-2026</vt:lpstr>
      <vt:lpstr>Protokół 31-12-2025</vt:lpstr>
      <vt:lpstr>Protokół 30-11-2025</vt:lpstr>
      <vt:lpstr>Protokół 30-10-2025</vt:lpstr>
      <vt:lpstr>Protokół 30-09-2025</vt:lpstr>
      <vt:lpstr>'Protokół 18-02-2026'!Obszar_wydruku</vt:lpstr>
      <vt:lpstr>'Protokół 18-03-2026'!Obszar_wydruku</vt:lpstr>
      <vt:lpstr>'Protokół 23-04-2026 '!Obszar_wydruku</vt:lpstr>
      <vt:lpstr>'Protokół 30-09-2025'!Obszar_wydruku</vt:lpstr>
      <vt:lpstr>'Protokół 30-10-2025'!Obszar_wydruku</vt:lpstr>
      <vt:lpstr>'Protokół 30-11-2025'!Obszar_wydruku</vt:lpstr>
      <vt:lpstr>'Protokół 31-12-2025'!Obszar_wydruku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Beata</dc:creator>
  <cp:lastModifiedBy>Konrad Banaszczyk</cp:lastModifiedBy>
  <cp:lastPrinted>2026-01-09T07:46:26Z</cp:lastPrinted>
  <dcterms:created xsi:type="dcterms:W3CDTF">2020-06-07T16:04:25Z</dcterms:created>
  <dcterms:modified xsi:type="dcterms:W3CDTF">2026-04-23T12:29:03Z</dcterms:modified>
</cp:coreProperties>
</file>